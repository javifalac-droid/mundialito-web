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Mundialito-WEB\"/>
    </mc:Choice>
  </mc:AlternateContent>
  <xr:revisionPtr revIDLastSave="0" documentId="13_ncr:1_{0235332B-723E-4C48-BB37-A312F32E8E36}" xr6:coauthVersionLast="47" xr6:coauthVersionMax="47" xr10:uidLastSave="{00000000-0000-0000-0000-000000000000}"/>
  <bookViews>
    <workbookView xWindow="-108" yWindow="-108" windowWidth="23256" windowHeight="12456" tabRatio="831" xr2:uid="{5D8C40F9-B180-4AD9-A109-1285E937C9AC}"/>
  </bookViews>
  <sheets>
    <sheet name="ESCUELITAS" sheetId="4" r:id="rId1"/>
    <sheet name="INGRESOS-EGRESOS" sheetId="9" r:id="rId2"/>
    <sheet name="NEGOCIADOS- EL NORTE" sheetId="5" r:id="rId3"/>
    <sheet name="MAYOR" sheetId="13" r:id="rId4"/>
    <sheet name="DUPLEX" sheetId="10" r:id="rId5"/>
    <sheet name="Precios" sheetId="3" r:id="rId6"/>
    <sheet name="RECIBOS" sheetId="1" r:id="rId7"/>
    <sheet name="TROFEOS" sheetId="6" r:id="rId8"/>
    <sheet name="CENTRO DE COSTOS" sheetId="7" r:id="rId9"/>
    <sheet name="BALANCE" sheetId="12" r:id="rId10"/>
    <sheet name="DIVIDENDOS" sheetId="11" r:id="rId11"/>
  </sheets>
  <definedNames>
    <definedName name="_xlnm.Print_Area" localSheetId="2">'NEGOCIADOS- EL NORTE'!$B$1:$J$98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16" i="5" l="1"/>
  <c r="R116" i="5"/>
  <c r="P116" i="5"/>
  <c r="N116" i="5"/>
  <c r="L116" i="5"/>
  <c r="H116" i="5"/>
  <c r="H115" i="5"/>
  <c r="G54" i="4"/>
  <c r="S40" i="4"/>
  <c r="Q29" i="4"/>
  <c r="E40" i="4"/>
  <c r="H24" i="9"/>
  <c r="Q23" i="4"/>
  <c r="D22" i="13"/>
  <c r="D31" i="13"/>
  <c r="D30" i="13"/>
  <c r="D27" i="13"/>
  <c r="N11" i="12"/>
  <c r="O31" i="12"/>
  <c r="F63" i="9"/>
  <c r="G63" i="9" s="1"/>
  <c r="H3" i="10"/>
  <c r="O21" i="12"/>
  <c r="J3" i="10"/>
  <c r="H49" i="5"/>
  <c r="H48" i="5"/>
  <c r="Q28" i="4"/>
  <c r="N26" i="4"/>
  <c r="L26" i="4"/>
  <c r="J26" i="4"/>
  <c r="F26" i="4"/>
  <c r="O26" i="4" s="1"/>
  <c r="P26" i="4" s="1"/>
  <c r="D26" i="4"/>
  <c r="A28" i="4"/>
  <c r="A29" i="4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27" i="4"/>
  <c r="L24" i="9"/>
  <c r="Q15" i="4"/>
  <c r="Q19" i="4"/>
  <c r="H80" i="9"/>
  <c r="F80" i="9" s="1"/>
  <c r="N41" i="12"/>
  <c r="G24" i="10"/>
  <c r="G25" i="10"/>
  <c r="F24" i="10"/>
  <c r="F25" i="10"/>
  <c r="O35" i="12"/>
  <c r="N15" i="12"/>
  <c r="O9" i="12"/>
  <c r="J13" i="4"/>
  <c r="L12" i="4"/>
  <c r="L13" i="4"/>
  <c r="D13" i="4"/>
  <c r="D12" i="4"/>
  <c r="E23" i="4"/>
  <c r="H27" i="4"/>
  <c r="H9" i="4" s="1"/>
  <c r="E22" i="4"/>
  <c r="E25" i="10"/>
  <c r="E24" i="10"/>
  <c r="F12" i="12"/>
  <c r="G30" i="12"/>
  <c r="H86" i="5"/>
  <c r="D8" i="10"/>
  <c r="E49" i="5" s="1"/>
  <c r="E54" i="5" s="1"/>
  <c r="E59" i="5" s="1"/>
  <c r="E65" i="5" s="1"/>
  <c r="F105" i="9"/>
  <c r="E90" i="9"/>
  <c r="E60" i="9"/>
  <c r="S22" i="9"/>
  <c r="D16" i="11" s="1"/>
  <c r="O7" i="12" s="1"/>
  <c r="R22" i="9"/>
  <c r="D9" i="11" s="1"/>
  <c r="O6" i="12" s="1"/>
  <c r="Q22" i="9"/>
  <c r="D4" i="11" s="1"/>
  <c r="O5" i="12" s="1"/>
  <c r="E34" i="10"/>
  <c r="G28" i="12" s="1"/>
  <c r="F37" i="10"/>
  <c r="G37" i="10" s="1"/>
  <c r="G38" i="10"/>
  <c r="G36" i="10"/>
  <c r="F37" i="9"/>
  <c r="G37" i="9" s="1"/>
  <c r="F28" i="9"/>
  <c r="G28" i="9" s="1"/>
  <c r="F36" i="9"/>
  <c r="G36" i="9" s="1"/>
  <c r="F35" i="9"/>
  <c r="G35" i="9" s="1"/>
  <c r="Q11" i="10"/>
  <c r="P11" i="10"/>
  <c r="O11" i="10"/>
  <c r="AB12" i="4"/>
  <c r="AA12" i="4"/>
  <c r="Z12" i="4"/>
  <c r="J11" i="9"/>
  <c r="D35" i="4"/>
  <c r="E25" i="9"/>
  <c r="E24" i="9"/>
  <c r="E23" i="9"/>
  <c r="E19" i="9" s="1"/>
  <c r="F22" i="10"/>
  <c r="F21" i="10"/>
  <c r="F20" i="10"/>
  <c r="F19" i="10"/>
  <c r="F18" i="10"/>
  <c r="F17" i="10"/>
  <c r="F16" i="10"/>
  <c r="F15" i="10"/>
  <c r="F14" i="10"/>
  <c r="F23" i="10"/>
  <c r="E22" i="10"/>
  <c r="G22" i="10" s="1"/>
  <c r="E21" i="10"/>
  <c r="G21" i="10" s="1"/>
  <c r="E20" i="10"/>
  <c r="G20" i="10" s="1"/>
  <c r="E19" i="10"/>
  <c r="G19" i="10" s="1"/>
  <c r="E18" i="10"/>
  <c r="E17" i="10"/>
  <c r="E16" i="10"/>
  <c r="E15" i="10"/>
  <c r="E14" i="10"/>
  <c r="E23" i="10"/>
  <c r="G13" i="5"/>
  <c r="G12" i="5"/>
  <c r="G9" i="5"/>
  <c r="G8" i="5"/>
  <c r="H88" i="5"/>
  <c r="H26" i="5"/>
  <c r="E37" i="5" s="1"/>
  <c r="H21" i="5"/>
  <c r="E38" i="5" s="1"/>
  <c r="F27" i="9"/>
  <c r="G27" i="9" s="1"/>
  <c r="F10" i="10"/>
  <c r="E5" i="10"/>
  <c r="F48" i="9"/>
  <c r="G48" i="9" s="1"/>
  <c r="F92" i="9"/>
  <c r="F97" i="9"/>
  <c r="G97" i="9" s="1"/>
  <c r="F96" i="9"/>
  <c r="G96" i="9" s="1"/>
  <c r="F95" i="9"/>
  <c r="G95" i="9" s="1"/>
  <c r="F94" i="9"/>
  <c r="G94" i="9" s="1"/>
  <c r="F93" i="9"/>
  <c r="G93" i="9" s="1"/>
  <c r="F47" i="9"/>
  <c r="G47" i="9" s="1"/>
  <c r="F46" i="9"/>
  <c r="G46" i="9" s="1"/>
  <c r="F67" i="9"/>
  <c r="G67" i="9" s="1"/>
  <c r="F45" i="9"/>
  <c r="G45" i="9" s="1"/>
  <c r="F44" i="9"/>
  <c r="G44" i="9" s="1"/>
  <c r="F43" i="9"/>
  <c r="G43" i="9" s="1"/>
  <c r="F42" i="9"/>
  <c r="G42" i="9" s="1"/>
  <c r="F41" i="9"/>
  <c r="G41" i="9" s="1"/>
  <c r="F40" i="9"/>
  <c r="G40" i="9" s="1"/>
  <c r="F39" i="9"/>
  <c r="G39" i="9" s="1"/>
  <c r="F38" i="9"/>
  <c r="G38" i="9" s="1"/>
  <c r="F34" i="9"/>
  <c r="G34" i="9" s="1"/>
  <c r="F33" i="9"/>
  <c r="G33" i="9" s="1"/>
  <c r="F32" i="9"/>
  <c r="G32" i="9" s="1"/>
  <c r="F31" i="9"/>
  <c r="G31" i="9" s="1"/>
  <c r="F30" i="9"/>
  <c r="G30" i="9" s="1"/>
  <c r="F29" i="9"/>
  <c r="G29" i="9" s="1"/>
  <c r="F26" i="9"/>
  <c r="G26" i="9" s="1"/>
  <c r="F25" i="9"/>
  <c r="F23" i="9"/>
  <c r="F22" i="9"/>
  <c r="F53" i="9"/>
  <c r="G53" i="9" s="1"/>
  <c r="F52" i="9"/>
  <c r="G52" i="9" s="1"/>
  <c r="F51" i="9"/>
  <c r="G51" i="9" s="1"/>
  <c r="F50" i="9"/>
  <c r="G50" i="9" s="1"/>
  <c r="F49" i="9"/>
  <c r="G49" i="9" s="1"/>
  <c r="F66" i="9"/>
  <c r="G66" i="9" s="1"/>
  <c r="F65" i="9"/>
  <c r="G65" i="9" s="1"/>
  <c r="F64" i="9"/>
  <c r="G64" i="9" s="1"/>
  <c r="F62" i="9"/>
  <c r="F83" i="9"/>
  <c r="G83" i="9" s="1"/>
  <c r="F82" i="9"/>
  <c r="G82" i="9" s="1"/>
  <c r="F81" i="9"/>
  <c r="G81" i="9" s="1"/>
  <c r="F79" i="9"/>
  <c r="G79" i="9" s="1"/>
  <c r="F78" i="9"/>
  <c r="F77" i="9"/>
  <c r="G77" i="9" s="1"/>
  <c r="F76" i="9"/>
  <c r="G76" i="9" s="1"/>
  <c r="G7" i="9"/>
  <c r="E4" i="9"/>
  <c r="E5" i="9"/>
  <c r="E3" i="9"/>
  <c r="E78" i="9"/>
  <c r="E74" i="9" s="1"/>
  <c r="M9" i="4"/>
  <c r="E50" i="5" s="1"/>
  <c r="E55" i="5" s="1"/>
  <c r="E60" i="5" s="1"/>
  <c r="E66" i="5" s="1"/>
  <c r="K9" i="4"/>
  <c r="E48" i="5" s="1"/>
  <c r="E53" i="5" s="1"/>
  <c r="E58" i="5" s="1"/>
  <c r="E64" i="5" s="1"/>
  <c r="I9" i="4"/>
  <c r="G9" i="4"/>
  <c r="D44" i="4"/>
  <c r="D43" i="4"/>
  <c r="D42" i="4"/>
  <c r="D41" i="4"/>
  <c r="D39" i="4"/>
  <c r="D38" i="4"/>
  <c r="D37" i="4"/>
  <c r="D36" i="4"/>
  <c r="D34" i="4"/>
  <c r="D33" i="4"/>
  <c r="D32" i="4"/>
  <c r="D31" i="4"/>
  <c r="D30" i="4"/>
  <c r="D29" i="4"/>
  <c r="D28" i="4"/>
  <c r="D27" i="4"/>
  <c r="D25" i="4"/>
  <c r="D24" i="4"/>
  <c r="D21" i="4"/>
  <c r="D20" i="4"/>
  <c r="D19" i="4"/>
  <c r="D18" i="4"/>
  <c r="D17" i="4"/>
  <c r="D16" i="4"/>
  <c r="D15" i="4"/>
  <c r="D14" i="4"/>
  <c r="L15" i="4"/>
  <c r="L16" i="4"/>
  <c r="L17" i="4"/>
  <c r="L18" i="4"/>
  <c r="L19" i="4"/>
  <c r="L20" i="4"/>
  <c r="L21" i="4"/>
  <c r="L22" i="4"/>
  <c r="L23" i="4"/>
  <c r="L24" i="4"/>
  <c r="L25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14" i="4"/>
  <c r="J15" i="4"/>
  <c r="J16" i="4"/>
  <c r="J17" i="4"/>
  <c r="J18" i="4"/>
  <c r="J19" i="4"/>
  <c r="J20" i="4"/>
  <c r="J21" i="4"/>
  <c r="J22" i="4"/>
  <c r="J23" i="4"/>
  <c r="J24" i="4"/>
  <c r="J25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14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1" i="4"/>
  <c r="F42" i="4"/>
  <c r="F43" i="4"/>
  <c r="F44" i="4"/>
  <c r="F15" i="4"/>
  <c r="F16" i="4"/>
  <c r="F17" i="4"/>
  <c r="F18" i="4"/>
  <c r="F19" i="4"/>
  <c r="F20" i="4"/>
  <c r="F21" i="4"/>
  <c r="F24" i="4"/>
  <c r="F25" i="4"/>
  <c r="F14" i="4"/>
  <c r="N15" i="4"/>
  <c r="N16" i="4"/>
  <c r="N17" i="4"/>
  <c r="N18" i="4"/>
  <c r="N19" i="4"/>
  <c r="N20" i="4"/>
  <c r="N21" i="4"/>
  <c r="N22" i="4"/>
  <c r="N23" i="4"/>
  <c r="N24" i="4"/>
  <c r="N25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14" i="4"/>
  <c r="H10" i="1"/>
  <c r="H6" i="1"/>
  <c r="H7" i="1"/>
  <c r="H5" i="1"/>
  <c r="F8" i="1"/>
  <c r="D40" i="4" l="1"/>
  <c r="D9" i="4" s="1"/>
  <c r="F40" i="4"/>
  <c r="F24" i="9"/>
  <c r="N39" i="12"/>
  <c r="F36" i="12"/>
  <c r="G92" i="9"/>
  <c r="G90" i="9" s="1"/>
  <c r="F90" i="9"/>
  <c r="G62" i="9"/>
  <c r="G60" i="9" s="1"/>
  <c r="F60" i="9"/>
  <c r="F34" i="12"/>
  <c r="N37" i="12"/>
  <c r="N36" i="12"/>
  <c r="F33" i="12"/>
  <c r="G18" i="12"/>
  <c r="O18" i="12"/>
  <c r="N38" i="12"/>
  <c r="F35" i="12"/>
  <c r="D23" i="4"/>
  <c r="F23" i="4"/>
  <c r="N30" i="12"/>
  <c r="N29" i="12" s="1"/>
  <c r="H5" i="4"/>
  <c r="E9" i="4"/>
  <c r="D107" i="9" s="1"/>
  <c r="E107" i="9" s="1"/>
  <c r="D22" i="4"/>
  <c r="F22" i="4"/>
  <c r="O22" i="4" s="1"/>
  <c r="P22" i="4" s="1"/>
  <c r="O4" i="12"/>
  <c r="F74" i="9"/>
  <c r="G80" i="9"/>
  <c r="E47" i="5"/>
  <c r="I8" i="4"/>
  <c r="G34" i="10"/>
  <c r="F11" i="12" s="1"/>
  <c r="G18" i="10"/>
  <c r="G17" i="10"/>
  <c r="G16" i="10"/>
  <c r="G15" i="10"/>
  <c r="G14" i="10"/>
  <c r="G22" i="9"/>
  <c r="C16" i="11"/>
  <c r="N7" i="12" s="1"/>
  <c r="C4" i="11"/>
  <c r="N5" i="12" s="1"/>
  <c r="C9" i="11"/>
  <c r="N6" i="12" s="1"/>
  <c r="G23" i="10"/>
  <c r="E8" i="10"/>
  <c r="J4" i="4"/>
  <c r="O28" i="4"/>
  <c r="P28" i="4" s="1"/>
  <c r="O29" i="4"/>
  <c r="P29" i="4" s="1"/>
  <c r="O30" i="4"/>
  <c r="P30" i="4" s="1"/>
  <c r="O31" i="4"/>
  <c r="P31" i="4" s="1"/>
  <c r="O32" i="4"/>
  <c r="P32" i="4" s="1"/>
  <c r="L9" i="4"/>
  <c r="J9" i="4"/>
  <c r="N9" i="4"/>
  <c r="N7" i="4"/>
  <c r="G23" i="9"/>
  <c r="G25" i="9"/>
  <c r="O16" i="4"/>
  <c r="P16" i="4" s="1"/>
  <c r="O18" i="4"/>
  <c r="P18" i="4" s="1"/>
  <c r="O20" i="4"/>
  <c r="P20" i="4" s="1"/>
  <c r="O21" i="4"/>
  <c r="P21" i="4" s="1"/>
  <c r="O15" i="4"/>
  <c r="P15" i="4" s="1"/>
  <c r="O17" i="4"/>
  <c r="O19" i="4"/>
  <c r="P19" i="4" s="1"/>
  <c r="O27" i="4"/>
  <c r="P27" i="4" s="1"/>
  <c r="O38" i="4"/>
  <c r="P38" i="4" s="1"/>
  <c r="O36" i="4"/>
  <c r="P36" i="4" s="1"/>
  <c r="O44" i="4"/>
  <c r="P44" i="4" s="1"/>
  <c r="O34" i="4"/>
  <c r="P34" i="4" s="1"/>
  <c r="O41" i="4"/>
  <c r="P41" i="4" s="1"/>
  <c r="O39" i="4"/>
  <c r="P39" i="4" s="1"/>
  <c r="O35" i="4"/>
  <c r="P35" i="4" s="1"/>
  <c r="O42" i="4"/>
  <c r="P42" i="4" s="1"/>
  <c r="O37" i="4"/>
  <c r="P37" i="4" s="1"/>
  <c r="O43" i="4"/>
  <c r="P43" i="4" s="1"/>
  <c r="O23" i="4"/>
  <c r="P23" i="4" s="1"/>
  <c r="O24" i="4"/>
  <c r="P24" i="4" s="1"/>
  <c r="O25" i="4"/>
  <c r="P25" i="4" s="1"/>
  <c r="O14" i="4"/>
  <c r="P14" i="4" s="1"/>
  <c r="O33" i="4"/>
  <c r="P33" i="4" s="1"/>
  <c r="E57" i="5"/>
  <c r="E70" i="5" s="1"/>
  <c r="E52" i="5"/>
  <c r="E71" i="5" s="1"/>
  <c r="G16" i="5"/>
  <c r="H29" i="5"/>
  <c r="G31" i="5" s="1"/>
  <c r="G10" i="10"/>
  <c r="F8" i="10"/>
  <c r="G78" i="9"/>
  <c r="H8" i="1"/>
  <c r="H12" i="1" s="1"/>
  <c r="H47" i="5" l="1"/>
  <c r="O40" i="4"/>
  <c r="F9" i="4"/>
  <c r="F5" i="4" s="1"/>
  <c r="G24" i="9"/>
  <c r="G19" i="9" s="1"/>
  <c r="E14" i="13" s="1"/>
  <c r="F19" i="9"/>
  <c r="G19" i="12"/>
  <c r="O19" i="12"/>
  <c r="G74" i="9"/>
  <c r="N4" i="12"/>
  <c r="L4" i="4"/>
  <c r="P17" i="4"/>
  <c r="G107" i="9"/>
  <c r="G105" i="9" s="1"/>
  <c r="E17" i="13" s="1"/>
  <c r="E105" i="9"/>
  <c r="D32" i="13" s="1"/>
  <c r="G8" i="10"/>
  <c r="E16" i="11"/>
  <c r="F7" i="12" s="1"/>
  <c r="E4" i="11"/>
  <c r="F5" i="12" s="1"/>
  <c r="E9" i="11"/>
  <c r="F6" i="12" s="1"/>
  <c r="E63" i="5"/>
  <c r="E62" i="5" s="1"/>
  <c r="E46" i="5"/>
  <c r="E33" i="5"/>
  <c r="F37" i="5" s="1"/>
  <c r="D29" i="13" l="1"/>
  <c r="G26" i="13" s="1"/>
  <c r="H46" i="5"/>
  <c r="H73" i="5" s="1"/>
  <c r="E116" i="5" s="1"/>
  <c r="G53" i="4"/>
  <c r="D21" i="13"/>
  <c r="G19" i="13" s="1"/>
  <c r="O30" i="12"/>
  <c r="P40" i="4"/>
  <c r="P9" i="4" s="1"/>
  <c r="O9" i="4"/>
  <c r="G27" i="12" s="1"/>
  <c r="G20" i="12"/>
  <c r="O20" i="12"/>
  <c r="F37" i="12"/>
  <c r="N40" i="12"/>
  <c r="O17" i="12"/>
  <c r="G17" i="12"/>
  <c r="P4" i="12"/>
  <c r="G16" i="12"/>
  <c r="O16" i="12"/>
  <c r="E69" i="5"/>
  <c r="G37" i="5"/>
  <c r="F38" i="5"/>
  <c r="G38" i="5" s="1"/>
  <c r="H54" i="4" l="1"/>
  <c r="F10" i="12"/>
  <c r="F41" i="12" s="1"/>
  <c r="N10" i="12"/>
  <c r="G116" i="5"/>
  <c r="E16" i="13" s="1"/>
  <c r="N43" i="12"/>
  <c r="N35" i="12" s="1"/>
  <c r="F76" i="5"/>
  <c r="O23" i="12" l="1"/>
  <c r="O15" i="12" s="1"/>
  <c r="G12" i="13"/>
  <c r="O32" i="12"/>
  <c r="O29" i="12" s="1"/>
  <c r="P29" i="12" s="1"/>
  <c r="E118" i="5"/>
  <c r="G118" i="5" s="1"/>
  <c r="N12" i="12" s="1"/>
  <c r="N9" i="12" s="1"/>
  <c r="J54" i="4"/>
  <c r="H53" i="4"/>
  <c r="J53" i="4" s="1"/>
  <c r="P35" i="12"/>
  <c r="G29" i="12"/>
  <c r="G41" i="12" s="1"/>
  <c r="F43" i="12" s="1"/>
  <c r="H94" i="5"/>
  <c r="H96" i="5"/>
  <c r="P15" i="12" l="1"/>
  <c r="O2" i="12"/>
  <c r="P9" i="12"/>
  <c r="N2" i="12"/>
  <c r="N1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javif</author>
    <author>tc={CBC74050-1956-4076-AE2E-7C6922D7268C}</author>
  </authors>
  <commentList>
    <comment ref="Q28" authorId="0" shapeId="0" xr:uid="{53E0BCEE-A55F-448D-8020-2154FD7FDF86}">
      <text>
        <r>
          <rPr>
            <b/>
            <sz val="9"/>
            <color indexed="81"/>
            <rFont val="Tahoma"/>
            <charset val="1"/>
          </rPr>
          <t>javif:</t>
        </r>
        <r>
          <rPr>
            <sz val="9"/>
            <color indexed="81"/>
            <rFont val="Tahoma"/>
            <charset val="1"/>
          </rPr>
          <t xml:space="preserve">
260.000+400.000
</t>
        </r>
      </text>
    </comment>
    <comment ref="R28" authorId="0" shapeId="0" xr:uid="{F34E7549-8448-405C-8FBE-34FDF3FB6A3D}">
      <text>
        <r>
          <rPr>
            <b/>
            <sz val="9"/>
            <color indexed="81"/>
            <rFont val="Tahoma"/>
            <family val="2"/>
          </rPr>
          <t xml:space="preserve">Cobró todo dice
</t>
        </r>
      </text>
    </comment>
    <comment ref="Q39" authorId="1" shapeId="0" xr:uid="{CBC74050-1956-4076-AE2E-7C6922D7268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1.560.000 eft + 2.000.000 tra</t>
      </text>
    </comment>
  </commentList>
</comments>
</file>

<file path=xl/sharedStrings.xml><?xml version="1.0" encoding="utf-8"?>
<sst xmlns="http://schemas.openxmlformats.org/spreadsheetml/2006/main" count="539" uniqueCount="257">
  <si>
    <t>Escuela de Futbol</t>
  </si>
  <si>
    <t>Torneo</t>
  </si>
  <si>
    <t>CANTIDAD</t>
  </si>
  <si>
    <t>MONTO</t>
  </si>
  <si>
    <t>IMP.TOTAL</t>
  </si>
  <si>
    <t>Torneo con Alojamiento</t>
  </si>
  <si>
    <t>TROFEOS</t>
  </si>
  <si>
    <t>Liberados</t>
  </si>
  <si>
    <t>SERVICIOS</t>
  </si>
  <si>
    <t>DESAYUNO</t>
  </si>
  <si>
    <t>ALMUERZO</t>
  </si>
  <si>
    <t>CENA</t>
  </si>
  <si>
    <t>RECIBO</t>
  </si>
  <si>
    <t>EFECTIVO</t>
  </si>
  <si>
    <t>CANJE</t>
  </si>
  <si>
    <t>PAGOS</t>
  </si>
  <si>
    <t>GUILLE</t>
  </si>
  <si>
    <t>DIEGO</t>
  </si>
  <si>
    <t>FER</t>
  </si>
  <si>
    <t>EL NORTE</t>
  </si>
  <si>
    <t>PARAMEDICOS</t>
  </si>
  <si>
    <t>AMBULANCIA</t>
  </si>
  <si>
    <t>ARBITROS CAÑA</t>
  </si>
  <si>
    <t>OTROS</t>
  </si>
  <si>
    <t>TRANSF</t>
  </si>
  <si>
    <t>TORNEO</t>
  </si>
  <si>
    <t>C/U</t>
  </si>
  <si>
    <t>ENTRADAS</t>
  </si>
  <si>
    <t>AUTOS</t>
  </si>
  <si>
    <t>STAND BASE</t>
  </si>
  <si>
    <t>STAND POCHOCLO</t>
  </si>
  <si>
    <t>STAND TATU</t>
  </si>
  <si>
    <t>CC</t>
  </si>
  <si>
    <t>PULSERAS</t>
  </si>
  <si>
    <t>ARBITROS PABLITO</t>
  </si>
  <si>
    <t>ARBITROS 1</t>
  </si>
  <si>
    <t>FUTBOL</t>
  </si>
  <si>
    <t>REDES</t>
  </si>
  <si>
    <t>AMBULANCIA SEM</t>
  </si>
  <si>
    <t>PARAMEDICOS UNC</t>
  </si>
  <si>
    <t>FLYBANNER</t>
  </si>
  <si>
    <t>RIFAS TALONARIOS</t>
  </si>
  <si>
    <t>PREMIOS- RIFAS</t>
  </si>
  <si>
    <t xml:space="preserve">CARTEL </t>
  </si>
  <si>
    <t>SOGAS</t>
  </si>
  <si>
    <t>FERNANDO</t>
  </si>
  <si>
    <t>SANDW MILANESA</t>
  </si>
  <si>
    <t>CENA C/STAF</t>
  </si>
  <si>
    <t>STAF - ALCANZA PELOTAS</t>
  </si>
  <si>
    <t>SONIDO</t>
  </si>
  <si>
    <t>SEGUROS- CHIPI</t>
  </si>
  <si>
    <t>TROFEOS DE CAMPEONES</t>
  </si>
  <si>
    <t>VIATICOS - STAF</t>
  </si>
  <si>
    <t>MEDICA - BRENDA</t>
  </si>
  <si>
    <t>PUBLICIDAD - ROBERTO INFERIORES CBA</t>
  </si>
  <si>
    <t>AYUDANTE - VIERNES</t>
  </si>
  <si>
    <t>LOBITOS</t>
  </si>
  <si>
    <t>SAN PABLO</t>
  </si>
  <si>
    <t>ESTRELLA AZUL</t>
  </si>
  <si>
    <t>D.I.E.F</t>
  </si>
  <si>
    <t>LA LOMITA</t>
  </si>
  <si>
    <t>ATL. VILLA ALLENDE</t>
  </si>
  <si>
    <t>TALLERES BOTANICO</t>
  </si>
  <si>
    <t>KABALLS</t>
  </si>
  <si>
    <t>TALENTO DEP.</t>
  </si>
  <si>
    <t>AMP. ALTAMIRA</t>
  </si>
  <si>
    <t>CBA TALENTOS</t>
  </si>
  <si>
    <t>TALLERES S.V</t>
  </si>
  <si>
    <t>ESTRELLAS SUR</t>
  </si>
  <si>
    <t>POL. Va DEL ROSARIO</t>
  </si>
  <si>
    <t>B° PARQUE</t>
  </si>
  <si>
    <t>RIVER PLATE</t>
  </si>
  <si>
    <t>EL TALADRO</t>
  </si>
  <si>
    <t>LE.CE.FI</t>
  </si>
  <si>
    <t>TALLERES YOFRE</t>
  </si>
  <si>
    <t>ROBLES</t>
  </si>
  <si>
    <t>INSTITUTO</t>
  </si>
  <si>
    <t>ARGENTINO JRS</t>
  </si>
  <si>
    <t>ACADEMIA SUR</t>
  </si>
  <si>
    <t>TALLERES V. RETIRO</t>
  </si>
  <si>
    <t>LASALLANO</t>
  </si>
  <si>
    <t>RACING</t>
  </si>
  <si>
    <t>STOECKLIN</t>
  </si>
  <si>
    <t>EFUL</t>
  </si>
  <si>
    <t>MITO DIAZ</t>
  </si>
  <si>
    <t>TORINO F.C</t>
  </si>
  <si>
    <t>DANTE ALIGHERI</t>
  </si>
  <si>
    <t>CENA - PROFES ALOJADOS</t>
  </si>
  <si>
    <t>TICKETS ALMUERZO</t>
  </si>
  <si>
    <t>ALMUERZOS PROFES</t>
  </si>
  <si>
    <t>Sub Total 1</t>
  </si>
  <si>
    <t>TOTAL GRAL</t>
  </si>
  <si>
    <t>PLASTIFICADOS</t>
  </si>
  <si>
    <t>FACUNDO QR</t>
  </si>
  <si>
    <t>GUANCHOPE</t>
  </si>
  <si>
    <t>LUISITO</t>
  </si>
  <si>
    <t>VIATICOS LOMITOS</t>
  </si>
  <si>
    <t>VIATICOS DESAYUNOS</t>
  </si>
  <si>
    <t>DON CALI - ALFAJORES</t>
  </si>
  <si>
    <t>DISTRIBUIDORA - LECHES</t>
  </si>
  <si>
    <t>BOLETERIA</t>
  </si>
  <si>
    <t>BOLETEROS</t>
  </si>
  <si>
    <t>GUARDIAS - MARCOS</t>
  </si>
  <si>
    <t>GUARDIAS- FULVIO (LIGA)</t>
  </si>
  <si>
    <t>TICKETS- LIBRERIA</t>
  </si>
  <si>
    <t>PRECIO</t>
  </si>
  <si>
    <t>ALMUERZOS</t>
  </si>
  <si>
    <t>SABADO</t>
  </si>
  <si>
    <t>DOMINGO</t>
  </si>
  <si>
    <t>BEBIDAS PARAMEDICOS</t>
  </si>
  <si>
    <t>BEBIDAS- GENERAL</t>
  </si>
  <si>
    <t>TRANSFERENCIAS</t>
  </si>
  <si>
    <t>TOTAL</t>
  </si>
  <si>
    <t>SALDO</t>
  </si>
  <si>
    <t>RESUMEN DE PAGOS PARA CADA UNO</t>
  </si>
  <si>
    <t>LIBERADOS</t>
  </si>
  <si>
    <t>CRISTIAN ABRANCHI</t>
  </si>
  <si>
    <t>JAVI LASCANO</t>
  </si>
  <si>
    <t>MATU LASCANO</t>
  </si>
  <si>
    <t>GUANCHITO</t>
  </si>
  <si>
    <t>CROSTI</t>
  </si>
  <si>
    <t>PRECINTOS</t>
  </si>
  <si>
    <t>ALOJAMIENTOS</t>
  </si>
  <si>
    <t>STANDS</t>
  </si>
  <si>
    <t>FLETE- ARCOS</t>
  </si>
  <si>
    <t>FLETE- TROFEOS</t>
  </si>
  <si>
    <t>GONZALO Y OSO</t>
  </si>
  <si>
    <t>VIATICOS - COMIDA VIERNES</t>
  </si>
  <si>
    <t>ALMUERZO 
PROFES</t>
  </si>
  <si>
    <t>Importe</t>
  </si>
  <si>
    <t>Destino</t>
  </si>
  <si>
    <t>Inscripcion</t>
  </si>
  <si>
    <t>Alojamiento</t>
  </si>
  <si>
    <t>CONCEPTO</t>
  </si>
  <si>
    <t>Almuerzo Profes</t>
  </si>
  <si>
    <t>Entradas</t>
  </si>
  <si>
    <t>Estacionamientos</t>
  </si>
  <si>
    <t>Importe 1</t>
  </si>
  <si>
    <t>Importe 2</t>
  </si>
  <si>
    <t>Importe 3</t>
  </si>
  <si>
    <t>#</t>
  </si>
  <si>
    <t>ESCUELITA</t>
  </si>
  <si>
    <t>Cant</t>
  </si>
  <si>
    <t>Cantidades</t>
  </si>
  <si>
    <t>INGRESOS TORNEO</t>
  </si>
  <si>
    <t>INGRESOS EL NORTE</t>
  </si>
  <si>
    <t>EGRESOS EL NORTE</t>
  </si>
  <si>
    <t>EGRESOS TORNEO</t>
  </si>
  <si>
    <t>Pago</t>
  </si>
  <si>
    <t>Saldo</t>
  </si>
  <si>
    <t>CREDITO 1</t>
  </si>
  <si>
    <t>CREDITO 2</t>
  </si>
  <si>
    <t>TICKETS- LIBRERIA - TALONARIOS</t>
  </si>
  <si>
    <t>LIBRERIA</t>
  </si>
  <si>
    <t>VIATICOS</t>
  </si>
  <si>
    <t>CANT</t>
  </si>
  <si>
    <t>INGRESOS</t>
  </si>
  <si>
    <t xml:space="preserve">Almuerzos </t>
  </si>
  <si>
    <t>CREDITO 3</t>
  </si>
  <si>
    <t>TRANSF. ESTRELLA AZUL</t>
  </si>
  <si>
    <t>SABADO - ALMUERZO</t>
  </si>
  <si>
    <t>ALOJADOS - DUPLEX</t>
  </si>
  <si>
    <t>SABADO - CENA</t>
  </si>
  <si>
    <t>DOMINGO - DESAYUNO</t>
  </si>
  <si>
    <t>PROFES</t>
  </si>
  <si>
    <t>DOMINGO - ALMUERZO</t>
  </si>
  <si>
    <t>DETALLE - COMEDOR</t>
  </si>
  <si>
    <t xml:space="preserve">INSCRIPTOS - ALOJADOS </t>
  </si>
  <si>
    <t>TOTALES</t>
  </si>
  <si>
    <t>DESAYUNOS</t>
  </si>
  <si>
    <t>CENAS</t>
  </si>
  <si>
    <t>DUPLEX</t>
  </si>
  <si>
    <t>IMPORTE</t>
  </si>
  <si>
    <t>CANT / 
PERSONAS</t>
  </si>
  <si>
    <t>01 - ORGANIZACIÓN
02 - INSCRIPTOS
03 - ALQUILER</t>
  </si>
  <si>
    <t>ARBITROS FACU</t>
  </si>
  <si>
    <t>TRANSF. CBA TALENTOS</t>
  </si>
  <si>
    <t>BANDERAS</t>
  </si>
  <si>
    <t>EGRESOS</t>
  </si>
  <si>
    <t>Pu</t>
  </si>
  <si>
    <t>SUB TOTAL INGRESOS "BOLETERIA"</t>
  </si>
  <si>
    <t>SUB-TOTAL EGRESOS "BOLETERIA"</t>
  </si>
  <si>
    <t>BONIF.</t>
  </si>
  <si>
    <t>LIGA</t>
  </si>
  <si>
    <t>BALANCE "BOLETERIA"</t>
  </si>
  <si>
    <t>DIVIDENDO</t>
  </si>
  <si>
    <t>DISTRIBUCION DE DIVIDENDOS</t>
  </si>
  <si>
    <t>DISTRIBUCION</t>
  </si>
  <si>
    <t>DIVIDENDOS Y REINTEGROS</t>
  </si>
  <si>
    <t>TOTAL BALANCE "BOLETERIA"</t>
  </si>
  <si>
    <t>BALANCE "ALOJAMIENTOS Y COMEDOR"</t>
  </si>
  <si>
    <t>10 % COMISION - LIGA PARTICIPANDO</t>
  </si>
  <si>
    <t>TOTAL BALANCE "ALOJAMIENTOS"</t>
  </si>
  <si>
    <t xml:space="preserve">TOTAL </t>
  </si>
  <si>
    <t>PAGOS / ADELANTADOS AL EL NORTE</t>
  </si>
  <si>
    <t>FECHA</t>
  </si>
  <si>
    <t>TOTAL DE IMPUTACIONES</t>
  </si>
  <si>
    <t>LIGA PARTICIPANDO</t>
  </si>
  <si>
    <t xml:space="preserve">MUNDIALITO  - LIGA PARTICIPANDO  - AGOSTO 2026 </t>
  </si>
  <si>
    <t>GASTOS</t>
  </si>
  <si>
    <t>COBRANZAS</t>
  </si>
  <si>
    <t>AGOSTINA M. JOSE</t>
  </si>
  <si>
    <t>CAPELLETTI JORGE</t>
  </si>
  <si>
    <t>GALINDE MELIZA</t>
  </si>
  <si>
    <t>SCAVARDA CAROLINA</t>
  </si>
  <si>
    <t>LUCIANA GOULD</t>
  </si>
  <si>
    <t>ADAN RAM</t>
  </si>
  <si>
    <t>JOSE RODRIGUEZ</t>
  </si>
  <si>
    <t>SILVANA MACCIO</t>
  </si>
  <si>
    <t>JULIO MEDINA CAMPOS</t>
  </si>
  <si>
    <t>RANCAGUA</t>
  </si>
  <si>
    <t>2 ALMUERZOS</t>
  </si>
  <si>
    <t>importe3</t>
  </si>
  <si>
    <t>ARBITRO CAÑA</t>
  </si>
  <si>
    <t>FACU TRASLADOS ARCOS</t>
  </si>
  <si>
    <t>LUIS TRASLADOS ARCOS</t>
  </si>
  <si>
    <t>HIERROS PARA DIVIDIR CANCHAS</t>
  </si>
  <si>
    <t>ARMADO DE CANCHAS</t>
  </si>
  <si>
    <t>Torneo 
con Alojamiento
100,000</t>
  </si>
  <si>
    <t>Almuerzos
30,000</t>
  </si>
  <si>
    <t>CAJA</t>
  </si>
  <si>
    <t>A COBRAR</t>
  </si>
  <si>
    <t>A PAGAR</t>
  </si>
  <si>
    <t>D</t>
  </si>
  <si>
    <t>H</t>
  </si>
  <si>
    <t>STAND</t>
  </si>
  <si>
    <t>PAGADO</t>
  </si>
  <si>
    <t>BRASCA VALENTIN</t>
  </si>
  <si>
    <t>MELODI BARRIONUEVO</t>
  </si>
  <si>
    <t>Cant de trofeos</t>
  </si>
  <si>
    <t>AJUSTE TECNICO</t>
  </si>
  <si>
    <t>NORTE -ALOJAM.</t>
  </si>
  <si>
    <t>NORTE- ENTRADAS</t>
  </si>
  <si>
    <t>CUENTAS A PAGAR</t>
  </si>
  <si>
    <t>EL NORTE- ENTRADAS</t>
  </si>
  <si>
    <t>EL NORTE- DUPLEX</t>
  </si>
  <si>
    <t>EL NORTE - ALOJAMIENTOS</t>
  </si>
  <si>
    <t>FELIPA</t>
  </si>
  <si>
    <t>INSCRIPTOS (solo almuerzos)</t>
  </si>
  <si>
    <t>pagos al norte</t>
  </si>
  <si>
    <t>IMP TOTAL</t>
  </si>
  <si>
    <t>BANDAS</t>
  </si>
  <si>
    <t>EL NORTE COMIS ALOJA</t>
  </si>
  <si>
    <t>COMISION</t>
  </si>
  <si>
    <t>CUENTAS A COBRAR</t>
  </si>
  <si>
    <t>HOTEL</t>
  </si>
  <si>
    <t>COMISION EL NORTE</t>
  </si>
  <si>
    <t>BOLETERIA NORTE</t>
  </si>
  <si>
    <t>ALMUERZOS NORTE</t>
  </si>
  <si>
    <t>HOTEL NORTE</t>
  </si>
  <si>
    <t>DUPLEX NORTE</t>
  </si>
  <si>
    <t>EL NORTE (ALM-ALO-DUP)</t>
  </si>
  <si>
    <t>PAGO 1</t>
  </si>
  <si>
    <t>DEBITO</t>
  </si>
  <si>
    <t>PAGO 2</t>
  </si>
  <si>
    <t>PAGO 3</t>
  </si>
  <si>
    <t>PAGO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</si>
</sst>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&quot;$&quot;\ #,##0"/>
    <numFmt numFmtId="165" formatCode="&quot;$&quot;\ #,##0.00"/>
  </numFmts>
  <fonts count="1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0"/>
      <name val="Aptos Narrow"/>
      <scheme val="minor"/>
    </font>
    <font>
      <b/>
      <u/>
      <sz val="11"/>
      <color theme="0"/>
      <name val="Aptos Narrow"/>
      <scheme val="minor"/>
    </font>
    <font>
      <b/>
      <u/>
      <sz val="11"/>
      <name val="Aptos Narrow"/>
      <scheme val="minor"/>
    </font>
    <font>
      <b/>
      <sz val="11"/>
      <name val="Aptos Narrow"/>
      <scheme val="minor"/>
    </font>
    <font>
      <sz val="11"/>
      <name val="Aptos Narrow"/>
      <scheme val="minor"/>
    </font>
    <font>
      <sz val="11"/>
      <name val="Aptos Narrow"/>
      <family val="2"/>
      <scheme val="minor"/>
    </font>
    <font>
      <b/>
      <sz val="22"/>
      <color theme="0"/>
      <name val="Aptos Narrow"/>
      <scheme val="minor"/>
    </font>
    <font>
      <b/>
      <sz val="20"/>
      <color theme="1"/>
      <name val="Aptos Narrow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auto="1"/>
      </right>
      <top/>
      <bottom/>
      <diagonal/>
    </border>
    <border>
      <left style="thin">
        <color auto="1"/>
      </left>
      <right style="thin">
        <color theme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21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" fontId="0" fillId="0" borderId="0" xfId="0" applyNumberFormat="1"/>
    <xf numFmtId="0" fontId="1" fillId="2" borderId="0" xfId="0" applyFont="1" applyFill="1"/>
    <xf numFmtId="4" fontId="0" fillId="2" borderId="0" xfId="0" applyNumberFormat="1" applyFill="1"/>
    <xf numFmtId="0" fontId="0" fillId="0" borderId="0" xfId="0" applyAlignment="1">
      <alignment horizontal="left"/>
    </xf>
    <xf numFmtId="3" fontId="0" fillId="0" borderId="0" xfId="0" applyNumberFormat="1"/>
    <xf numFmtId="0" fontId="0" fillId="2" borderId="0" xfId="0" applyFill="1"/>
    <xf numFmtId="0" fontId="1" fillId="0" borderId="1" xfId="0" applyFont="1" applyBorder="1"/>
    <xf numFmtId="0" fontId="0" fillId="0" borderId="2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2" fillId="0" borderId="1" xfId="0" applyFont="1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3" fontId="0" fillId="0" borderId="0" xfId="0" applyNumberFormat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/>
    <xf numFmtId="0" fontId="5" fillId="0" borderId="14" xfId="0" applyFont="1" applyBorder="1"/>
    <xf numFmtId="0" fontId="5" fillId="0" borderId="15" xfId="0" applyFont="1" applyBorder="1"/>
    <xf numFmtId="0" fontId="0" fillId="4" borderId="13" xfId="0" applyFill="1" applyBorder="1"/>
    <xf numFmtId="0" fontId="5" fillId="4" borderId="13" xfId="0" applyFont="1" applyFill="1" applyBorder="1"/>
    <xf numFmtId="3" fontId="5" fillId="4" borderId="13" xfId="0" applyNumberFormat="1" applyFont="1" applyFill="1" applyBorder="1"/>
    <xf numFmtId="0" fontId="4" fillId="4" borderId="0" xfId="0" applyFont="1" applyFill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22" xfId="0" applyBorder="1" applyAlignment="1">
      <alignment horizontal="center" vertical="center"/>
    </xf>
    <xf numFmtId="3" fontId="0" fillId="4" borderId="22" xfId="0" applyNumberFormat="1" applyFill="1" applyBorder="1"/>
    <xf numFmtId="3" fontId="5" fillId="4" borderId="22" xfId="0" applyNumberFormat="1" applyFont="1" applyFill="1" applyBorder="1"/>
    <xf numFmtId="0" fontId="5" fillId="0" borderId="22" xfId="0" applyFont="1" applyBorder="1"/>
    <xf numFmtId="0" fontId="5" fillId="0" borderId="22" xfId="0" applyFont="1" applyBorder="1" applyAlignment="1">
      <alignment horizontal="center" vertical="center"/>
    </xf>
    <xf numFmtId="3" fontId="5" fillId="0" borderId="22" xfId="0" applyNumberFormat="1" applyFont="1" applyBorder="1"/>
    <xf numFmtId="3" fontId="0" fillId="4" borderId="24" xfId="0" applyNumberFormat="1" applyFill="1" applyBorder="1"/>
    <xf numFmtId="3" fontId="5" fillId="4" borderId="24" xfId="0" applyNumberFormat="1" applyFont="1" applyFill="1" applyBorder="1"/>
    <xf numFmtId="3" fontId="5" fillId="4" borderId="25" xfId="0" applyNumberFormat="1" applyFont="1" applyFill="1" applyBorder="1"/>
    <xf numFmtId="0" fontId="5" fillId="0" borderId="26" xfId="0" applyFont="1" applyBorder="1"/>
    <xf numFmtId="3" fontId="5" fillId="4" borderId="26" xfId="0" applyNumberFormat="1" applyFont="1" applyFill="1" applyBorder="1"/>
    <xf numFmtId="3" fontId="1" fillId="0" borderId="0" xfId="0" applyNumberFormat="1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3" fontId="4" fillId="0" borderId="0" xfId="0" applyNumberFormat="1" applyFont="1" applyAlignment="1">
      <alignment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3" fontId="5" fillId="4" borderId="13" xfId="0" applyNumberFormat="1" applyFont="1" applyFill="1" applyBorder="1" applyAlignment="1">
      <alignment horizontal="right" vertical="center"/>
    </xf>
    <xf numFmtId="0" fontId="4" fillId="0" borderId="17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3" fontId="0" fillId="0" borderId="17" xfId="0" applyNumberFormat="1" applyBorder="1"/>
    <xf numFmtId="0" fontId="0" fillId="0" borderId="16" xfId="0" applyBorder="1"/>
    <xf numFmtId="3" fontId="0" fillId="0" borderId="16" xfId="0" applyNumberFormat="1" applyBorder="1"/>
    <xf numFmtId="0" fontId="1" fillId="0" borderId="16" xfId="0" applyFont="1" applyBorder="1"/>
    <xf numFmtId="0" fontId="4" fillId="0" borderId="3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 wrapText="1"/>
    </xf>
    <xf numFmtId="0" fontId="0" fillId="0" borderId="17" xfId="0" applyBorder="1"/>
    <xf numFmtId="0" fontId="0" fillId="0" borderId="1" xfId="0" applyBorder="1"/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3" fontId="4" fillId="0" borderId="0" xfId="0" applyNumberFormat="1" applyFont="1" applyAlignment="1">
      <alignment horizontal="right" vertical="center"/>
    </xf>
    <xf numFmtId="3" fontId="0" fillId="0" borderId="35" xfId="0" applyNumberFormat="1" applyBorder="1"/>
    <xf numFmtId="3" fontId="0" fillId="0" borderId="1" xfId="0" applyNumberFormat="1" applyBorder="1"/>
    <xf numFmtId="0" fontId="4" fillId="0" borderId="31" xfId="0" applyFont="1" applyBorder="1" applyAlignment="1">
      <alignment horizontal="left" vertical="center" wrapText="1"/>
    </xf>
    <xf numFmtId="3" fontId="0" fillId="0" borderId="22" xfId="0" applyNumberFormat="1" applyBorder="1" applyAlignment="1">
      <alignment horizontal="center" vertical="center"/>
    </xf>
    <xf numFmtId="3" fontId="5" fillId="0" borderId="22" xfId="0" applyNumberFormat="1" applyFont="1" applyBorder="1" applyAlignment="1">
      <alignment horizontal="center" vertical="center"/>
    </xf>
    <xf numFmtId="0" fontId="11" fillId="0" borderId="0" xfId="0" applyFont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17" xfId="0" applyBorder="1" applyAlignment="1">
      <alignment vertical="center"/>
    </xf>
    <xf numFmtId="0" fontId="7" fillId="3" borderId="0" xfId="0" applyFont="1" applyFill="1" applyAlignment="1">
      <alignment vertical="center"/>
    </xf>
    <xf numFmtId="0" fontId="0" fillId="0" borderId="16" xfId="0" applyBorder="1" applyAlignment="1">
      <alignment vertical="center"/>
    </xf>
    <xf numFmtId="0" fontId="4" fillId="7" borderId="0" xfId="0" applyFont="1" applyFill="1" applyAlignment="1">
      <alignment vertical="center"/>
    </xf>
    <xf numFmtId="0" fontId="0" fillId="7" borderId="0" xfId="0" applyFill="1" applyAlignment="1">
      <alignment vertical="center"/>
    </xf>
    <xf numFmtId="164" fontId="4" fillId="7" borderId="0" xfId="0" applyNumberFormat="1" applyFont="1" applyFill="1" applyAlignment="1">
      <alignment vertical="center"/>
    </xf>
    <xf numFmtId="3" fontId="4" fillId="0" borderId="0" xfId="0" applyNumberFormat="1" applyFont="1"/>
    <xf numFmtId="0" fontId="6" fillId="0" borderId="16" xfId="0" applyFont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4" fillId="0" borderId="0" xfId="0" applyNumberFormat="1" applyFont="1"/>
    <xf numFmtId="165" fontId="4" fillId="7" borderId="0" xfId="0" applyNumberFormat="1" applyFont="1" applyFill="1" applyAlignment="1">
      <alignment vertical="center"/>
    </xf>
    <xf numFmtId="165" fontId="4" fillId="0" borderId="16" xfId="0" applyNumberFormat="1" applyFont="1" applyBorder="1" applyAlignment="1">
      <alignment vertical="center"/>
    </xf>
    <xf numFmtId="0" fontId="11" fillId="0" borderId="17" xfId="0" applyFont="1" applyBorder="1"/>
    <xf numFmtId="3" fontId="11" fillId="0" borderId="0" xfId="0" applyNumberFormat="1" applyFont="1"/>
    <xf numFmtId="0" fontId="11" fillId="0" borderId="16" xfId="0" applyFont="1" applyBorder="1"/>
    <xf numFmtId="0" fontId="6" fillId="3" borderId="0" xfId="0" applyFont="1" applyFill="1" applyAlignment="1">
      <alignment vertical="center"/>
    </xf>
    <xf numFmtId="3" fontId="6" fillId="3" borderId="0" xfId="0" applyNumberFormat="1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164" fontId="0" fillId="0" borderId="0" xfId="0" applyNumberFormat="1"/>
    <xf numFmtId="4" fontId="4" fillId="0" borderId="0" xfId="0" applyNumberFormat="1" applyFont="1"/>
    <xf numFmtId="0" fontId="0" fillId="0" borderId="32" xfId="0" applyBorder="1"/>
    <xf numFmtId="0" fontId="0" fillId="0" borderId="31" xfId="0" applyBorder="1"/>
    <xf numFmtId="164" fontId="0" fillId="0" borderId="31" xfId="0" applyNumberFormat="1" applyBorder="1"/>
    <xf numFmtId="0" fontId="0" fillId="0" borderId="30" xfId="0" applyBorder="1"/>
    <xf numFmtId="0" fontId="9" fillId="0" borderId="0" xfId="0" applyFont="1"/>
    <xf numFmtId="165" fontId="11" fillId="0" borderId="0" xfId="0" applyNumberFormat="1" applyFont="1"/>
    <xf numFmtId="0" fontId="9" fillId="7" borderId="0" xfId="0" applyFont="1" applyFill="1" applyAlignment="1">
      <alignment vertical="center"/>
    </xf>
    <xf numFmtId="164" fontId="0" fillId="0" borderId="37" xfId="0" applyNumberFormat="1" applyBorder="1"/>
    <xf numFmtId="9" fontId="0" fillId="0" borderId="17" xfId="0" applyNumberFormat="1" applyBorder="1"/>
    <xf numFmtId="9" fontId="2" fillId="0" borderId="17" xfId="0" applyNumberFormat="1" applyFont="1" applyBorder="1"/>
    <xf numFmtId="0" fontId="1" fillId="5" borderId="0" xfId="0" applyFont="1" applyFill="1"/>
    <xf numFmtId="0" fontId="4" fillId="5" borderId="0" xfId="0" applyFont="1" applyFill="1"/>
    <xf numFmtId="0" fontId="10" fillId="7" borderId="0" xfId="0" applyFont="1" applyFill="1"/>
    <xf numFmtId="165" fontId="9" fillId="7" borderId="0" xfId="0" applyNumberFormat="1" applyFont="1" applyFill="1" applyAlignment="1">
      <alignment vertical="center"/>
    </xf>
    <xf numFmtId="0" fontId="5" fillId="0" borderId="31" xfId="0" applyFont="1" applyBorder="1"/>
    <xf numFmtId="0" fontId="0" fillId="0" borderId="39" xfId="0" applyBorder="1"/>
    <xf numFmtId="0" fontId="1" fillId="0" borderId="37" xfId="0" applyFont="1" applyBorder="1"/>
    <xf numFmtId="3" fontId="4" fillId="0" borderId="4" xfId="0" applyNumberFormat="1" applyFont="1" applyBorder="1"/>
    <xf numFmtId="165" fontId="4" fillId="0" borderId="0" xfId="0" applyNumberFormat="1" applyFont="1"/>
    <xf numFmtId="0" fontId="0" fillId="0" borderId="40" xfId="0" applyBorder="1"/>
    <xf numFmtId="0" fontId="0" fillId="0" borderId="41" xfId="0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11" fillId="0" borderId="1" xfId="0" applyFont="1" applyBorder="1"/>
    <xf numFmtId="0" fontId="11" fillId="0" borderId="2" xfId="0" applyFont="1" applyBorder="1"/>
    <xf numFmtId="0" fontId="0" fillId="0" borderId="3" xfId="0" applyBorder="1"/>
    <xf numFmtId="0" fontId="0" fillId="0" borderId="6" xfId="0" applyBorder="1"/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3" fontId="0" fillId="5" borderId="0" xfId="0" applyNumberFormat="1" applyFill="1"/>
    <xf numFmtId="0" fontId="0" fillId="5" borderId="0" xfId="0" applyFill="1"/>
    <xf numFmtId="0" fontId="4" fillId="7" borderId="0" xfId="0" applyFont="1" applyFill="1"/>
    <xf numFmtId="3" fontId="0" fillId="0" borderId="4" xfId="0" applyNumberFormat="1" applyBorder="1"/>
    <xf numFmtId="3" fontId="4" fillId="0" borderId="0" xfId="0" applyNumberFormat="1" applyFont="1" applyAlignment="1">
      <alignment horizontal="center"/>
    </xf>
    <xf numFmtId="3" fontId="0" fillId="8" borderId="17" xfId="0" applyNumberFormat="1" applyFill="1" applyBorder="1"/>
    <xf numFmtId="0" fontId="0" fillId="4" borderId="22" xfId="0" applyFill="1" applyBorder="1"/>
    <xf numFmtId="0" fontId="5" fillId="4" borderId="22" xfId="0" applyFont="1" applyFill="1" applyBorder="1"/>
    <xf numFmtId="0" fontId="5" fillId="4" borderId="26" xfId="0" applyFont="1" applyFill="1" applyBorder="1"/>
    <xf numFmtId="3" fontId="0" fillId="0" borderId="23" xfId="0" applyNumberFormat="1" applyBorder="1"/>
    <xf numFmtId="3" fontId="5" fillId="0" borderId="23" xfId="0" applyNumberFormat="1" applyFont="1" applyBorder="1"/>
    <xf numFmtId="3" fontId="5" fillId="0" borderId="27" xfId="0" applyNumberFormat="1" applyFont="1" applyBorder="1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4" borderId="21" xfId="0" applyFill="1" applyBorder="1"/>
    <xf numFmtId="0" fontId="5" fillId="4" borderId="21" xfId="0" applyFont="1" applyFill="1" applyBorder="1"/>
    <xf numFmtId="0" fontId="0" fillId="5" borderId="43" xfId="0" applyFill="1" applyBorder="1" applyAlignment="1">
      <alignment horizontal="center" vertical="center"/>
    </xf>
    <xf numFmtId="3" fontId="0" fillId="5" borderId="44" xfId="0" applyNumberFormat="1" applyFill="1" applyBorder="1"/>
    <xf numFmtId="3" fontId="1" fillId="5" borderId="44" xfId="0" applyNumberFormat="1" applyFont="1" applyFill="1" applyBorder="1"/>
    <xf numFmtId="3" fontId="1" fillId="5" borderId="45" xfId="0" applyNumberFormat="1" applyFont="1" applyFill="1" applyBorder="1"/>
    <xf numFmtId="3" fontId="0" fillId="0" borderId="46" xfId="0" applyNumberFormat="1" applyBorder="1"/>
    <xf numFmtId="0" fontId="0" fillId="0" borderId="46" xfId="0" applyBorder="1"/>
    <xf numFmtId="0" fontId="0" fillId="0" borderId="46" xfId="0" applyBorder="1" applyAlignment="1">
      <alignment horizontal="center"/>
    </xf>
    <xf numFmtId="165" fontId="0" fillId="7" borderId="0" xfId="0" applyNumberFormat="1" applyFill="1"/>
    <xf numFmtId="3" fontId="0" fillId="0" borderId="5" xfId="0" applyNumberFormat="1" applyBorder="1"/>
    <xf numFmtId="0" fontId="11" fillId="6" borderId="0" xfId="0" applyFont="1" applyFill="1"/>
    <xf numFmtId="0" fontId="0" fillId="6" borderId="0" xfId="0" applyFill="1"/>
    <xf numFmtId="0" fontId="4" fillId="9" borderId="42" xfId="0" applyFont="1" applyFill="1" applyBorder="1" applyAlignment="1">
      <alignment horizontal="center" vertical="center"/>
    </xf>
    <xf numFmtId="3" fontId="4" fillId="9" borderId="24" xfId="0" applyNumberFormat="1" applyFont="1" applyFill="1" applyBorder="1"/>
    <xf numFmtId="3" fontId="4" fillId="9" borderId="25" xfId="0" applyNumberFormat="1" applyFont="1" applyFill="1" applyBorder="1"/>
    <xf numFmtId="0" fontId="0" fillId="9" borderId="0" xfId="0" applyFill="1" applyAlignment="1">
      <alignment horizontal="center" vertical="center"/>
    </xf>
    <xf numFmtId="4" fontId="0" fillId="5" borderId="2" xfId="0" applyNumberFormat="1" applyFill="1" applyBorder="1" applyAlignment="1">
      <alignment horizontal="center" vertical="center"/>
    </xf>
    <xf numFmtId="4" fontId="0" fillId="5" borderId="1" xfId="0" applyNumberFormat="1" applyFill="1" applyBorder="1" applyAlignment="1">
      <alignment horizontal="center" vertical="center"/>
    </xf>
    <xf numFmtId="0" fontId="4" fillId="9" borderId="0" xfId="0" applyFont="1" applyFill="1"/>
    <xf numFmtId="165" fontId="1" fillId="9" borderId="0" xfId="0" applyNumberFormat="1" applyFont="1" applyFill="1"/>
    <xf numFmtId="0" fontId="4" fillId="10" borderId="0" xfId="0" applyFont="1" applyFill="1"/>
    <xf numFmtId="0" fontId="0" fillId="10" borderId="0" xfId="0" applyFill="1"/>
    <xf numFmtId="165" fontId="1" fillId="10" borderId="0" xfId="0" applyNumberFormat="1" applyFont="1" applyFill="1"/>
    <xf numFmtId="0" fontId="0" fillId="9" borderId="0" xfId="0" applyFill="1"/>
    <xf numFmtId="0" fontId="1" fillId="10" borderId="0" xfId="0" applyFont="1" applyFill="1"/>
    <xf numFmtId="4" fontId="1" fillId="10" borderId="0" xfId="0" applyNumberFormat="1" applyFont="1" applyFill="1"/>
    <xf numFmtId="4" fontId="1" fillId="9" borderId="0" xfId="0" applyNumberFormat="1" applyFont="1" applyFill="1"/>
    <xf numFmtId="4" fontId="0" fillId="10" borderId="2" xfId="0" applyNumberFormat="1" applyFill="1" applyBorder="1" applyAlignment="1">
      <alignment horizontal="center" vertical="center"/>
    </xf>
    <xf numFmtId="4" fontId="0" fillId="10" borderId="1" xfId="0" applyNumberFormat="1" applyFill="1" applyBorder="1" applyAlignment="1">
      <alignment horizontal="center" vertical="center"/>
    </xf>
    <xf numFmtId="4" fontId="0" fillId="9" borderId="2" xfId="0" applyNumberFormat="1" applyFill="1" applyBorder="1" applyAlignment="1">
      <alignment horizontal="center" vertical="center"/>
    </xf>
    <xf numFmtId="4" fontId="0" fillId="9" borderId="1" xfId="0" applyNumberForma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4" fillId="10" borderId="0" xfId="0" applyNumberFormat="1" applyFont="1" applyFill="1"/>
    <xf numFmtId="165" fontId="4" fillId="9" borderId="0" xfId="0" applyNumberFormat="1" applyFont="1" applyFill="1"/>
    <xf numFmtId="165" fontId="0" fillId="0" borderId="0" xfId="0" applyNumberFormat="1"/>
    <xf numFmtId="44" fontId="0" fillId="0" borderId="0" xfId="0" applyNumberFormat="1"/>
    <xf numFmtId="0" fontId="0" fillId="2" borderId="22" xfId="0" applyFill="1" applyBorder="1"/>
    <xf numFmtId="0" fontId="0" fillId="4" borderId="0" xfId="0" applyFill="1"/>
    <xf numFmtId="3" fontId="0" fillId="4" borderId="0" xfId="0" applyNumberFormat="1" applyFill="1"/>
    <xf numFmtId="0" fontId="13" fillId="0" borderId="7" xfId="0" applyFont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3" fontId="4" fillId="7" borderId="9" xfId="0" applyNumberFormat="1" applyFont="1" applyFill="1" applyBorder="1" applyAlignment="1">
      <alignment horizontal="center" vertical="center"/>
    </xf>
    <xf numFmtId="3" fontId="4" fillId="7" borderId="10" xfId="0" applyNumberFormat="1" applyFont="1" applyFill="1" applyBorder="1" applyAlignment="1">
      <alignment horizontal="center" vertical="center"/>
    </xf>
    <xf numFmtId="3" fontId="4" fillId="7" borderId="11" xfId="0" applyNumberFormat="1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17">
    <dxf>
      <font>
        <b/>
        <i val="0"/>
        <color theme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color theme="9"/>
      </font>
    </dxf>
    <dxf>
      <font>
        <b/>
        <i val="0"/>
        <color rgb="FFFF0000"/>
      </font>
    </dxf>
    <dxf>
      <font>
        <color theme="9"/>
      </font>
    </dxf>
    <dxf>
      <font>
        <b/>
        <i val="0"/>
        <color rgb="FFFF0000"/>
      </font>
    </dxf>
    <dxf>
      <font>
        <color theme="9"/>
      </font>
    </dxf>
    <dxf>
      <font>
        <b/>
        <i val="0"/>
        <color rgb="FFFF0000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b/>
        <i val="0"/>
        <color theme="0"/>
      </font>
      <fill>
        <patternFill>
          <bgColor theme="9"/>
        </patternFill>
      </fill>
    </dxf>
    <dxf>
      <font>
        <color theme="9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vi Cáceres ." id="{CFD82165-E186-4AD7-98A8-6C1DEE06CBF1}" userId="2ca6de6d01879b0d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39" dT="2026-08-07T11:22:23.94" personId="{CFD82165-E186-4AD7-98A8-6C1DEE06CBF1}" id="{CBC74050-1956-4076-AE2E-7C6922D7268C}">
    <text>1.560.000 eft + 2.000.000 tra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93D5D-C0F4-4F64-9D5A-A8B352024822}">
  <dimension ref="A1:AB58"/>
  <sheetViews>
    <sheetView tabSelected="1" zoomScale="85" zoomScaleNormal="85" workbookViewId="0">
      <pane ySplit="11" topLeftCell="A12" activePane="bottomLeft" state="frozen"/>
      <selection pane="bottomLeft" activeCell="E13" sqref="E13"/>
    </sheetView>
  </sheetViews>
  <sheetFormatPr baseColWidth="10" defaultRowHeight="13.8"/>
  <cols>
    <col min="1" max="1" width="4" customWidth="1"/>
    <col min="2" max="2" width="5.19921875" customWidth="1"/>
    <col min="3" max="3" width="20.296875" bestFit="1" customWidth="1"/>
    <col min="4" max="4" width="9" style="3" customWidth="1"/>
    <col min="5" max="5" width="7.19921875" style="3" customWidth="1"/>
    <col min="6" max="6" width="12.5" style="3" customWidth="1"/>
    <col min="7" max="7" width="12.3984375" style="3" customWidth="1"/>
    <col min="8" max="8" width="12.19921875" style="3" customWidth="1"/>
    <col min="9" max="9" width="7.19921875" customWidth="1"/>
    <col min="10" max="10" width="14.09765625" customWidth="1"/>
    <col min="11" max="11" width="7.19921875" customWidth="1"/>
    <col min="12" max="12" width="12.69921875" customWidth="1"/>
    <col min="13" max="13" width="7.19921875" customWidth="1"/>
    <col min="14" max="14" width="12.09765625" customWidth="1"/>
    <col min="15" max="15" width="12" customWidth="1"/>
    <col min="16" max="16" width="13" customWidth="1"/>
    <col min="17" max="17" width="11.19921875" style="8"/>
    <col min="18" max="18" width="17.19921875" customWidth="1"/>
    <col min="24" max="24" width="19.09765625" customWidth="1"/>
  </cols>
  <sheetData>
    <row r="1" spans="1:28" hidden="1">
      <c r="A1" t="s">
        <v>114</v>
      </c>
      <c r="G1" s="24"/>
      <c r="H1" s="24"/>
      <c r="O1" s="8"/>
      <c r="P1" s="8"/>
    </row>
    <row r="2" spans="1:28" hidden="1">
      <c r="O2" s="8"/>
      <c r="P2" s="8"/>
    </row>
    <row r="3" spans="1:28" hidden="1">
      <c r="O3" s="8"/>
      <c r="P3" s="8"/>
    </row>
    <row r="4" spans="1:28" hidden="1">
      <c r="C4" t="s">
        <v>19</v>
      </c>
      <c r="J4" s="4">
        <f>+I9*30000</f>
        <v>6510000</v>
      </c>
      <c r="L4" s="8">
        <f>+L9</f>
        <v>5800000</v>
      </c>
      <c r="O4" s="8"/>
      <c r="P4" s="8"/>
    </row>
    <row r="5" spans="1:28" hidden="1">
      <c r="C5" t="s">
        <v>183</v>
      </c>
      <c r="F5" s="162">
        <f>+F9</f>
        <v>77220000</v>
      </c>
      <c r="H5" s="163">
        <f>-H9</f>
        <v>-440000</v>
      </c>
      <c r="J5" s="4"/>
      <c r="O5" s="8"/>
      <c r="P5" s="8"/>
    </row>
    <row r="6" spans="1:28" hidden="1">
      <c r="O6" s="8"/>
      <c r="P6" s="8"/>
    </row>
    <row r="7" spans="1:28" hidden="1">
      <c r="F7" s="163"/>
      <c r="G7" s="163"/>
      <c r="I7" s="4"/>
      <c r="J7" s="163"/>
      <c r="K7" s="4"/>
      <c r="L7" s="163"/>
      <c r="M7" s="4"/>
      <c r="N7" s="163">
        <f>SUM(N12:N44)</f>
        <v>0</v>
      </c>
      <c r="O7" s="4"/>
      <c r="P7" s="4"/>
      <c r="Q7" s="4"/>
      <c r="R7" s="4"/>
      <c r="S7" s="4"/>
      <c r="T7" s="4"/>
      <c r="U7" s="4"/>
      <c r="V7" s="4"/>
      <c r="W7" s="4"/>
      <c r="X7" s="4"/>
    </row>
    <row r="8" spans="1:28" ht="25.8" customHeight="1">
      <c r="C8" s="19" t="s">
        <v>229</v>
      </c>
      <c r="D8" s="3">
        <v>1900</v>
      </c>
      <c r="F8" s="163"/>
      <c r="G8" s="163"/>
      <c r="H8" s="163"/>
      <c r="I8" s="4">
        <f>+I9*2</f>
        <v>434</v>
      </c>
      <c r="J8" s="163"/>
      <c r="K8" s="4"/>
      <c r="L8" s="163"/>
      <c r="M8" s="4"/>
      <c r="N8" s="163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8" s="19" customFormat="1" ht="14.4" thickBot="1">
      <c r="A9" s="18"/>
      <c r="B9" s="28"/>
      <c r="C9" s="19" t="s">
        <v>143</v>
      </c>
      <c r="D9" s="180">
        <f t="shared" ref="D9:P9" si="0">SUM(D12:D44)</f>
        <v>1382</v>
      </c>
      <c r="E9" s="22">
        <f t="shared" si="0"/>
        <v>1372</v>
      </c>
      <c r="F9" s="60">
        <f t="shared" si="0"/>
        <v>77220000</v>
      </c>
      <c r="G9" s="3">
        <f t="shared" si="0"/>
        <v>10</v>
      </c>
      <c r="H9" s="163">
        <f t="shared" si="0"/>
        <v>440000</v>
      </c>
      <c r="I9" s="3">
        <f t="shared" si="0"/>
        <v>217</v>
      </c>
      <c r="J9" s="60">
        <f t="shared" si="0"/>
        <v>6510000</v>
      </c>
      <c r="K9" s="3">
        <f t="shared" si="0"/>
        <v>58</v>
      </c>
      <c r="L9" s="60">
        <f t="shared" si="0"/>
        <v>5800000</v>
      </c>
      <c r="M9" s="3">
        <f t="shared" si="0"/>
        <v>0</v>
      </c>
      <c r="N9" s="60">
        <f t="shared" si="0"/>
        <v>0</v>
      </c>
      <c r="O9" s="28">
        <f t="shared" si="0"/>
        <v>89090000</v>
      </c>
      <c r="P9" s="28">
        <f t="shared" si="0"/>
        <v>39330000</v>
      </c>
      <c r="Q9" s="28"/>
    </row>
    <row r="10" spans="1:28" s="19" customFormat="1" ht="59.4" customHeight="1" thickBot="1">
      <c r="A10" s="25"/>
      <c r="B10" s="28"/>
      <c r="C10" s="20" t="s">
        <v>141</v>
      </c>
      <c r="D10" s="37" t="s">
        <v>6</v>
      </c>
      <c r="E10" s="211" t="s">
        <v>25</v>
      </c>
      <c r="F10" s="211"/>
      <c r="G10" s="37" t="s">
        <v>115</v>
      </c>
      <c r="H10" s="37" t="s">
        <v>182</v>
      </c>
      <c r="I10" s="210" t="s">
        <v>219</v>
      </c>
      <c r="J10" s="210"/>
      <c r="K10" s="210" t="s">
        <v>218</v>
      </c>
      <c r="L10" s="210"/>
      <c r="M10" s="210" t="s">
        <v>128</v>
      </c>
      <c r="N10" s="210"/>
      <c r="O10" s="37" t="s">
        <v>112</v>
      </c>
      <c r="P10" s="37" t="s">
        <v>113</v>
      </c>
      <c r="Q10" s="207" t="s">
        <v>15</v>
      </c>
      <c r="R10" s="208"/>
      <c r="S10" s="208"/>
      <c r="T10" s="208"/>
      <c r="U10" s="208"/>
      <c r="V10" s="208"/>
      <c r="W10" s="208"/>
      <c r="X10" s="209"/>
      <c r="Z10" s="19" t="s">
        <v>16</v>
      </c>
      <c r="AA10" s="19" t="s">
        <v>17</v>
      </c>
      <c r="AB10" s="19" t="s">
        <v>45</v>
      </c>
    </row>
    <row r="11" spans="1:28">
      <c r="A11" t="s">
        <v>140</v>
      </c>
      <c r="B11" t="s">
        <v>32</v>
      </c>
      <c r="D11" s="3" t="s">
        <v>142</v>
      </c>
      <c r="E11" s="61" t="s">
        <v>142</v>
      </c>
      <c r="F11" s="62" t="s">
        <v>129</v>
      </c>
      <c r="G11" s="22" t="s">
        <v>142</v>
      </c>
      <c r="H11" s="22" t="s">
        <v>129</v>
      </c>
      <c r="I11" s="38" t="s">
        <v>142</v>
      </c>
      <c r="J11" s="39" t="s">
        <v>129</v>
      </c>
      <c r="K11" s="22" t="s">
        <v>142</v>
      </c>
      <c r="L11" s="22" t="s">
        <v>129</v>
      </c>
      <c r="M11" s="36" t="s">
        <v>142</v>
      </c>
      <c r="N11" s="36" t="s">
        <v>129</v>
      </c>
      <c r="O11" s="177" t="s">
        <v>129</v>
      </c>
      <c r="P11" s="166" t="s">
        <v>129</v>
      </c>
      <c r="Q11" s="40" t="s">
        <v>137</v>
      </c>
      <c r="R11" s="41" t="s">
        <v>130</v>
      </c>
      <c r="S11" s="42" t="s">
        <v>138</v>
      </c>
      <c r="T11" s="41" t="s">
        <v>130</v>
      </c>
      <c r="U11" s="42" t="s">
        <v>212</v>
      </c>
      <c r="V11" s="42" t="s">
        <v>130</v>
      </c>
      <c r="W11" s="41" t="s">
        <v>139</v>
      </c>
      <c r="X11" s="29" t="s">
        <v>130</v>
      </c>
    </row>
    <row r="12" spans="1:28">
      <c r="A12" s="43">
        <v>1</v>
      </c>
      <c r="B12" s="44">
        <v>1</v>
      </c>
      <c r="C12" s="44" t="s">
        <v>56</v>
      </c>
      <c r="D12" s="45">
        <f>+E12</f>
        <v>85</v>
      </c>
      <c r="E12" s="63">
        <v>85</v>
      </c>
      <c r="F12" s="65"/>
      <c r="G12" s="45"/>
      <c r="H12" s="89"/>
      <c r="I12" s="33"/>
      <c r="J12" s="33"/>
      <c r="K12" s="44"/>
      <c r="L12" s="50">
        <f>+K12*Precios!$C$7</f>
        <v>0</v>
      </c>
      <c r="M12" s="33"/>
      <c r="N12" s="164"/>
      <c r="O12" s="178"/>
      <c r="P12" s="167"/>
      <c r="Q12" s="51"/>
      <c r="R12" s="44"/>
      <c r="S12" s="46"/>
      <c r="T12" s="44"/>
      <c r="U12" s="152"/>
      <c r="V12" s="152"/>
      <c r="W12" s="155"/>
      <c r="X12" s="30"/>
      <c r="Z12" s="8">
        <f>+SUMIFS(Q12:Q44,R12:R44,Z10)+SUMIFS(S12:S44,T12:T44,Z10)+SUMIFS(U12:U44,V12:V44,Z10)+SUMIFS(W12:W44,X12:X44,Z10)</f>
        <v>17220000</v>
      </c>
      <c r="AA12" s="8">
        <f>+SUMIFS(Q12:Q44,R12:R44,AA10)+SUMIFS(S12:S44,T12:T44,AA10)+SUMIFS(U12:U44,V12:V44,AA10)+SUMIFS(W12:W44,X12:X44,AA10)</f>
        <v>11810000</v>
      </c>
      <c r="AB12" s="8">
        <f>+SUMIFS(Q12:Q44,R12:R44,AB10)+SUMIFS(S12:S44,T12:T44,AB10)+SUMIFS(U12:U44,V12:V44,AB10)+SUMIFS(W12:W44,X12:X44,AB10)</f>
        <v>3320000</v>
      </c>
    </row>
    <row r="13" spans="1:28">
      <c r="A13" s="43">
        <v>2</v>
      </c>
      <c r="B13" s="44">
        <v>1</v>
      </c>
      <c r="C13" s="44" t="s">
        <v>57</v>
      </c>
      <c r="D13" s="45">
        <f>+E13</f>
        <v>0</v>
      </c>
      <c r="E13" s="63"/>
      <c r="F13" s="65"/>
      <c r="G13" s="45"/>
      <c r="H13" s="89"/>
      <c r="I13" s="33"/>
      <c r="J13" s="35">
        <f>+I13*Precios!$C$6</f>
        <v>0</v>
      </c>
      <c r="K13" s="44"/>
      <c r="L13" s="50">
        <f>+K13*Precios!$C$7</f>
        <v>0</v>
      </c>
      <c r="M13" s="33"/>
      <c r="N13" s="164"/>
      <c r="O13" s="178"/>
      <c r="P13" s="168"/>
      <c r="Q13" s="51"/>
      <c r="R13" s="44"/>
      <c r="S13" s="47"/>
      <c r="T13" s="44"/>
      <c r="U13" s="152"/>
      <c r="V13" s="152"/>
      <c r="W13" s="155"/>
      <c r="X13" s="30"/>
    </row>
    <row r="14" spans="1:28">
      <c r="A14" s="43">
        <v>3</v>
      </c>
      <c r="B14" s="48">
        <v>2</v>
      </c>
      <c r="C14" s="48" t="s">
        <v>78</v>
      </c>
      <c r="D14" s="49">
        <f>+E14+G14</f>
        <v>90</v>
      </c>
      <c r="E14" s="64">
        <v>85</v>
      </c>
      <c r="F14" s="66">
        <f>+E14*Precios!$C$5</f>
        <v>5100000</v>
      </c>
      <c r="G14" s="49">
        <v>5</v>
      </c>
      <c r="H14" s="90"/>
      <c r="I14" s="34"/>
      <c r="J14" s="35">
        <f>+I14*Precios!$C$6</f>
        <v>0</v>
      </c>
      <c r="K14" s="48"/>
      <c r="L14" s="50">
        <f>+K14*Precios!$C$7</f>
        <v>0</v>
      </c>
      <c r="M14" s="34">
        <v>0</v>
      </c>
      <c r="N14" s="165">
        <f>+M14*Precios!$C$8</f>
        <v>0</v>
      </c>
      <c r="O14" s="178">
        <f t="shared" ref="O14:O34" si="1">+F14+J14+L14+N14-H14</f>
        <v>5100000</v>
      </c>
      <c r="P14" s="168">
        <f>+O14-(Q14+S14+W14+U14)</f>
        <v>150000</v>
      </c>
      <c r="Q14" s="52">
        <v>2600000</v>
      </c>
      <c r="R14" s="48" t="s">
        <v>19</v>
      </c>
      <c r="S14" s="47">
        <v>2350000</v>
      </c>
      <c r="T14" s="48" t="s">
        <v>19</v>
      </c>
      <c r="U14" s="47"/>
      <c r="V14" s="152"/>
      <c r="W14" s="156">
        <v>0</v>
      </c>
      <c r="X14" s="31"/>
      <c r="Y14" s="23"/>
    </row>
    <row r="15" spans="1:28">
      <c r="A15" s="43">
        <v>4</v>
      </c>
      <c r="B15" s="48">
        <v>2</v>
      </c>
      <c r="C15" s="48" t="s">
        <v>65</v>
      </c>
      <c r="D15" s="49">
        <f t="shared" ref="D15:D44" si="2">+E15+G15</f>
        <v>47</v>
      </c>
      <c r="E15" s="64">
        <v>47</v>
      </c>
      <c r="F15" s="66">
        <f>+E15*Precios!$C$5</f>
        <v>2820000</v>
      </c>
      <c r="G15" s="49"/>
      <c r="H15" s="90"/>
      <c r="I15" s="34"/>
      <c r="J15" s="35">
        <f>+I15*Precios!$C$6</f>
        <v>0</v>
      </c>
      <c r="K15" s="48"/>
      <c r="L15" s="50">
        <f>+K15*Precios!$C$7</f>
        <v>0</v>
      </c>
      <c r="M15" s="34">
        <v>0</v>
      </c>
      <c r="N15" s="165">
        <f>+M15*Precios!$C$8</f>
        <v>0</v>
      </c>
      <c r="O15" s="178">
        <f t="shared" si="1"/>
        <v>2820000</v>
      </c>
      <c r="P15" s="168">
        <f t="shared" ref="P15:P44" si="3">+O15-(Q15+S15+W15+U15)</f>
        <v>-60000</v>
      </c>
      <c r="Q15" s="52">
        <f>1080000+1800000</f>
        <v>2880000</v>
      </c>
      <c r="R15" s="48" t="s">
        <v>213</v>
      </c>
      <c r="S15" s="47">
        <v>0</v>
      </c>
      <c r="T15" s="48"/>
      <c r="U15" s="47"/>
      <c r="V15" s="153"/>
      <c r="W15" s="156"/>
      <c r="X15" s="30"/>
      <c r="Y15" s="23"/>
    </row>
    <row r="16" spans="1:28">
      <c r="A16" s="43">
        <v>5</v>
      </c>
      <c r="B16" s="48">
        <v>2</v>
      </c>
      <c r="C16" s="48" t="s">
        <v>77</v>
      </c>
      <c r="D16" s="49">
        <f t="shared" si="2"/>
        <v>44</v>
      </c>
      <c r="E16" s="64">
        <v>44</v>
      </c>
      <c r="F16" s="66">
        <f>+E16*Precios!$C$5</f>
        <v>2640000</v>
      </c>
      <c r="G16" s="49"/>
      <c r="H16" s="90"/>
      <c r="I16" s="34"/>
      <c r="J16" s="35">
        <f>+I16*Precios!$C$6</f>
        <v>0</v>
      </c>
      <c r="K16" s="48"/>
      <c r="L16" s="50">
        <f>+K16*Precios!$C$7</f>
        <v>0</v>
      </c>
      <c r="M16" s="34">
        <v>0</v>
      </c>
      <c r="N16" s="165">
        <f>+M16*Precios!$C$8</f>
        <v>0</v>
      </c>
      <c r="O16" s="178">
        <f t="shared" si="1"/>
        <v>2640000</v>
      </c>
      <c r="P16" s="168">
        <f t="shared" si="3"/>
        <v>2640000</v>
      </c>
      <c r="Q16" s="52">
        <v>0</v>
      </c>
      <c r="R16" s="48"/>
      <c r="S16" s="47">
        <v>0</v>
      </c>
      <c r="T16" s="48"/>
      <c r="U16" s="47"/>
      <c r="V16" s="153"/>
      <c r="W16" s="156">
        <v>0</v>
      </c>
      <c r="X16" s="31"/>
      <c r="Y16" s="23"/>
    </row>
    <row r="17" spans="1:25">
      <c r="A17" s="43">
        <v>6</v>
      </c>
      <c r="B17" s="48">
        <v>2</v>
      </c>
      <c r="C17" s="48" t="s">
        <v>61</v>
      </c>
      <c r="D17" s="49">
        <f t="shared" si="2"/>
        <v>40</v>
      </c>
      <c r="E17" s="64">
        <v>40</v>
      </c>
      <c r="F17" s="66">
        <f>+E17*Precios!$C$5</f>
        <v>2400000</v>
      </c>
      <c r="G17" s="49"/>
      <c r="H17" s="90"/>
      <c r="I17" s="34">
        <v>40</v>
      </c>
      <c r="J17" s="35">
        <f>+I17*Precios!$C$6</f>
        <v>1200000</v>
      </c>
      <c r="K17" s="48"/>
      <c r="L17" s="50">
        <f>+K17*Precios!$C$7</f>
        <v>0</v>
      </c>
      <c r="M17" s="34">
        <v>0</v>
      </c>
      <c r="N17" s="165">
        <f>+M17*Precios!$C$8</f>
        <v>0</v>
      </c>
      <c r="O17" s="178">
        <f t="shared" si="1"/>
        <v>3600000</v>
      </c>
      <c r="P17" s="168">
        <f t="shared" si="3"/>
        <v>0</v>
      </c>
      <c r="Q17" s="52">
        <v>3600000</v>
      </c>
      <c r="R17" s="48" t="s">
        <v>16</v>
      </c>
      <c r="S17" s="47">
        <v>0</v>
      </c>
      <c r="T17" s="48"/>
      <c r="U17" s="47"/>
      <c r="V17" s="153"/>
      <c r="W17" s="156">
        <v>0</v>
      </c>
      <c r="X17" s="31"/>
      <c r="Y17" s="23"/>
    </row>
    <row r="18" spans="1:25">
      <c r="A18" s="43">
        <v>7</v>
      </c>
      <c r="B18" s="48">
        <v>2</v>
      </c>
      <c r="C18" s="48" t="s">
        <v>70</v>
      </c>
      <c r="D18" s="49">
        <f t="shared" si="2"/>
        <v>78</v>
      </c>
      <c r="E18" s="64">
        <v>78</v>
      </c>
      <c r="F18" s="66">
        <f>+E18*Precios!$C$5</f>
        <v>4680000</v>
      </c>
      <c r="G18" s="49"/>
      <c r="H18" s="90"/>
      <c r="I18" s="34">
        <v>78</v>
      </c>
      <c r="J18" s="35">
        <f>+I18*Precios!$C$6</f>
        <v>2340000</v>
      </c>
      <c r="K18" s="48"/>
      <c r="L18" s="50">
        <f>+K18*Precios!$C$7</f>
        <v>0</v>
      </c>
      <c r="M18" s="34">
        <v>0</v>
      </c>
      <c r="N18" s="165">
        <f>+M18*Precios!$C$8</f>
        <v>0</v>
      </c>
      <c r="O18" s="178">
        <f t="shared" si="1"/>
        <v>7020000</v>
      </c>
      <c r="P18" s="168">
        <f t="shared" si="3"/>
        <v>3020000</v>
      </c>
      <c r="Q18" s="52">
        <v>4000000</v>
      </c>
      <c r="R18" s="48" t="s">
        <v>17</v>
      </c>
      <c r="S18" s="47">
        <v>0</v>
      </c>
      <c r="T18" s="48"/>
      <c r="U18" s="47"/>
      <c r="V18" s="153"/>
      <c r="W18" s="156">
        <v>0</v>
      </c>
      <c r="X18" s="31"/>
      <c r="Y18" s="23"/>
    </row>
    <row r="19" spans="1:25">
      <c r="A19" s="43">
        <v>8</v>
      </c>
      <c r="B19" s="48">
        <v>2</v>
      </c>
      <c r="C19" s="48" t="s">
        <v>66</v>
      </c>
      <c r="D19" s="49">
        <f t="shared" si="2"/>
        <v>0</v>
      </c>
      <c r="E19" s="64"/>
      <c r="F19" s="66">
        <f>+E19*Precios!$C$5</f>
        <v>0</v>
      </c>
      <c r="G19" s="49"/>
      <c r="H19" s="90"/>
      <c r="I19" s="34"/>
      <c r="J19" s="35">
        <f>+I19*Precios!$C$6</f>
        <v>0</v>
      </c>
      <c r="K19" s="48"/>
      <c r="L19" s="50">
        <f>+K19*Precios!$C$7</f>
        <v>0</v>
      </c>
      <c r="M19" s="34">
        <v>0</v>
      </c>
      <c r="N19" s="165">
        <f>+M19*Precios!$C$8</f>
        <v>0</v>
      </c>
      <c r="O19" s="178">
        <f t="shared" si="1"/>
        <v>0</v>
      </c>
      <c r="P19" s="168">
        <f t="shared" si="3"/>
        <v>-1740000</v>
      </c>
      <c r="Q19" s="52">
        <f>260000+630000+470000</f>
        <v>1360000</v>
      </c>
      <c r="R19" s="44" t="s">
        <v>39</v>
      </c>
      <c r="S19" s="47">
        <v>380000</v>
      </c>
      <c r="T19" s="48" t="s">
        <v>16</v>
      </c>
      <c r="U19" s="47"/>
      <c r="V19" s="153"/>
      <c r="W19" s="156">
        <v>0</v>
      </c>
      <c r="X19" s="30"/>
      <c r="Y19" s="23"/>
    </row>
    <row r="20" spans="1:25">
      <c r="A20" s="43">
        <v>9</v>
      </c>
      <c r="B20" s="48">
        <v>2</v>
      </c>
      <c r="C20" s="48" t="s">
        <v>59</v>
      </c>
      <c r="D20" s="49">
        <f t="shared" si="2"/>
        <v>141</v>
      </c>
      <c r="E20" s="64">
        <v>141</v>
      </c>
      <c r="F20" s="66">
        <f>+E20*Precios!$C$5</f>
        <v>8460000</v>
      </c>
      <c r="G20" s="49"/>
      <c r="H20" s="90"/>
      <c r="I20" s="34"/>
      <c r="J20" s="35">
        <f>+I20*Precios!$C$6</f>
        <v>0</v>
      </c>
      <c r="K20" s="48"/>
      <c r="L20" s="50">
        <f>+K20*Precios!$C$7</f>
        <v>0</v>
      </c>
      <c r="M20" s="34">
        <v>0</v>
      </c>
      <c r="N20" s="165">
        <f>+M20*Precios!$C$8</f>
        <v>0</v>
      </c>
      <c r="O20" s="178">
        <f t="shared" si="1"/>
        <v>8460000</v>
      </c>
      <c r="P20" s="168">
        <f t="shared" si="3"/>
        <v>8460000</v>
      </c>
      <c r="Q20" s="52">
        <v>0</v>
      </c>
      <c r="R20" s="48"/>
      <c r="S20" s="47">
        <v>0</v>
      </c>
      <c r="T20" s="48"/>
      <c r="U20" s="47"/>
      <c r="V20" s="153"/>
      <c r="W20" s="156">
        <v>0</v>
      </c>
      <c r="X20" s="31"/>
      <c r="Y20" s="23"/>
    </row>
    <row r="21" spans="1:25">
      <c r="A21" s="43">
        <v>10</v>
      </c>
      <c r="B21" s="48">
        <v>2</v>
      </c>
      <c r="C21" s="48" t="s">
        <v>86</v>
      </c>
      <c r="D21" s="49">
        <f t="shared" si="2"/>
        <v>49</v>
      </c>
      <c r="E21" s="64">
        <v>49</v>
      </c>
      <c r="F21" s="66">
        <f>+E21*Precios!$C$5</f>
        <v>2940000</v>
      </c>
      <c r="G21" s="49"/>
      <c r="H21" s="90"/>
      <c r="I21" s="34"/>
      <c r="J21" s="35">
        <f>+I21*Precios!$C$6</f>
        <v>0</v>
      </c>
      <c r="K21" s="48">
        <v>49</v>
      </c>
      <c r="L21" s="50">
        <f>+K21*Precios!$C$7</f>
        <v>4900000</v>
      </c>
      <c r="M21" s="34">
        <v>0</v>
      </c>
      <c r="N21" s="165">
        <f>+M21*Precios!$C$8</f>
        <v>0</v>
      </c>
      <c r="O21" s="178">
        <f t="shared" si="1"/>
        <v>7840000</v>
      </c>
      <c r="P21" s="168">
        <f t="shared" si="3"/>
        <v>4840000</v>
      </c>
      <c r="Q21" s="52">
        <v>3000000</v>
      </c>
      <c r="R21" s="48" t="s">
        <v>16</v>
      </c>
      <c r="S21" s="47">
        <v>0</v>
      </c>
      <c r="T21" s="48"/>
      <c r="U21" s="47"/>
      <c r="V21" s="153"/>
      <c r="W21" s="156">
        <v>0</v>
      </c>
      <c r="X21" s="31"/>
      <c r="Y21" s="23"/>
    </row>
    <row r="22" spans="1:25">
      <c r="A22" s="43">
        <v>11</v>
      </c>
      <c r="B22" s="48">
        <v>2</v>
      </c>
      <c r="C22" s="48" t="s">
        <v>83</v>
      </c>
      <c r="D22" s="49">
        <f t="shared" si="2"/>
        <v>25</v>
      </c>
      <c r="E22" s="64">
        <f>9+16</f>
        <v>25</v>
      </c>
      <c r="F22" s="66">
        <f>+E22*Precios!$C$5</f>
        <v>1500000</v>
      </c>
      <c r="G22" s="49"/>
      <c r="H22" s="90"/>
      <c r="I22" s="34"/>
      <c r="J22" s="35">
        <f>+I22*Precios!$C$6</f>
        <v>0</v>
      </c>
      <c r="K22" s="48">
        <v>9</v>
      </c>
      <c r="L22" s="50">
        <f>+K22*Precios!$C$7</f>
        <v>900000</v>
      </c>
      <c r="M22" s="34">
        <v>0</v>
      </c>
      <c r="N22" s="165">
        <f>+M22*Precios!$C$8</f>
        <v>0</v>
      </c>
      <c r="O22" s="178">
        <f t="shared" si="1"/>
        <v>2400000</v>
      </c>
      <c r="P22" s="168">
        <f t="shared" si="3"/>
        <v>-410000</v>
      </c>
      <c r="Q22" s="52">
        <v>1350000</v>
      </c>
      <c r="R22" s="48" t="s">
        <v>17</v>
      </c>
      <c r="S22" s="47">
        <v>1460000</v>
      </c>
      <c r="T22" s="48" t="s">
        <v>16</v>
      </c>
      <c r="U22" s="47"/>
      <c r="V22" s="153"/>
      <c r="W22" s="156">
        <v>0</v>
      </c>
      <c r="X22" s="31"/>
      <c r="Y22" s="23"/>
    </row>
    <row r="23" spans="1:25">
      <c r="A23" s="43">
        <v>12</v>
      </c>
      <c r="B23" s="48">
        <v>2</v>
      </c>
      <c r="C23" s="48" t="s">
        <v>72</v>
      </c>
      <c r="D23" s="49">
        <f t="shared" si="2"/>
        <v>66</v>
      </c>
      <c r="E23" s="64">
        <f>13*4+14</f>
        <v>66</v>
      </c>
      <c r="F23" s="66">
        <f>+E23*Precios!$C$5</f>
        <v>3960000</v>
      </c>
      <c r="G23" s="49"/>
      <c r="H23" s="90"/>
      <c r="I23" s="34"/>
      <c r="J23" s="35">
        <f>+I23*Precios!$C$6</f>
        <v>0</v>
      </c>
      <c r="K23" s="48"/>
      <c r="L23" s="50">
        <f>+K23*Precios!$C$7</f>
        <v>0</v>
      </c>
      <c r="M23" s="34">
        <v>0</v>
      </c>
      <c r="N23" s="165">
        <f>+M23*Precios!$C$8</f>
        <v>0</v>
      </c>
      <c r="O23" s="178">
        <f t="shared" si="1"/>
        <v>3960000</v>
      </c>
      <c r="P23" s="168">
        <f t="shared" si="3"/>
        <v>240000</v>
      </c>
      <c r="Q23" s="52">
        <f>1200000+2520000</f>
        <v>3720000</v>
      </c>
      <c r="R23" s="48" t="s">
        <v>213</v>
      </c>
      <c r="S23" s="47">
        <v>0</v>
      </c>
      <c r="T23" s="48"/>
      <c r="U23" s="47"/>
      <c r="V23" s="153"/>
      <c r="W23" s="156">
        <v>0</v>
      </c>
      <c r="X23" s="31"/>
      <c r="Y23" s="23"/>
    </row>
    <row r="24" spans="1:25">
      <c r="A24" s="43">
        <v>13</v>
      </c>
      <c r="B24" s="48">
        <v>2</v>
      </c>
      <c r="C24" s="48" t="s">
        <v>58</v>
      </c>
      <c r="D24" s="49">
        <f t="shared" si="2"/>
        <v>15</v>
      </c>
      <c r="E24" s="64">
        <v>15</v>
      </c>
      <c r="F24" s="66">
        <f>+E24*Precios!$C$5</f>
        <v>900000</v>
      </c>
      <c r="G24" s="49"/>
      <c r="H24" s="90"/>
      <c r="I24" s="34"/>
      <c r="J24" s="35">
        <f>+I24*Precios!$C$6</f>
        <v>0</v>
      </c>
      <c r="K24" s="48"/>
      <c r="L24" s="50">
        <f>+K24*Precios!$C$7</f>
        <v>0</v>
      </c>
      <c r="M24" s="34">
        <v>0</v>
      </c>
      <c r="N24" s="165">
        <f>+M24*Precios!$C$8</f>
        <v>0</v>
      </c>
      <c r="O24" s="178">
        <f t="shared" si="1"/>
        <v>900000</v>
      </c>
      <c r="P24" s="168">
        <f t="shared" si="3"/>
        <v>0</v>
      </c>
      <c r="Q24" s="52">
        <v>900000</v>
      </c>
      <c r="R24" s="44" t="s">
        <v>38</v>
      </c>
      <c r="S24" s="47">
        <v>0</v>
      </c>
      <c r="T24" s="48"/>
      <c r="U24" s="47"/>
      <c r="V24" s="153"/>
      <c r="W24" s="156">
        <v>0</v>
      </c>
      <c r="X24" s="31"/>
      <c r="Y24" s="23"/>
    </row>
    <row r="25" spans="1:25">
      <c r="A25" s="43">
        <v>14</v>
      </c>
      <c r="B25" s="48">
        <v>2</v>
      </c>
      <c r="C25" s="48" t="s">
        <v>68</v>
      </c>
      <c r="D25" s="49">
        <f t="shared" si="2"/>
        <v>60</v>
      </c>
      <c r="E25" s="64">
        <v>60</v>
      </c>
      <c r="F25" s="66">
        <f>+E25*Precios!$C$5</f>
        <v>3600000</v>
      </c>
      <c r="G25" s="49"/>
      <c r="H25" s="90"/>
      <c r="I25" s="34"/>
      <c r="J25" s="35">
        <f>+I25*Precios!$C$6</f>
        <v>0</v>
      </c>
      <c r="K25" s="48"/>
      <c r="L25" s="50">
        <f>+K25*Precios!$C$7</f>
        <v>0</v>
      </c>
      <c r="M25" s="34">
        <v>0</v>
      </c>
      <c r="N25" s="165">
        <f>+M25*Precios!$C$8</f>
        <v>0</v>
      </c>
      <c r="O25" s="178">
        <f t="shared" si="1"/>
        <v>3600000</v>
      </c>
      <c r="P25" s="168">
        <f t="shared" si="3"/>
        <v>600000</v>
      </c>
      <c r="Q25" s="52">
        <v>3000000</v>
      </c>
      <c r="R25" s="44" t="s">
        <v>17</v>
      </c>
      <c r="S25" s="47">
        <v>0</v>
      </c>
      <c r="T25" s="48"/>
      <c r="U25" s="47"/>
      <c r="V25" s="153"/>
      <c r="W25" s="156">
        <v>0</v>
      </c>
      <c r="X25" s="31"/>
      <c r="Y25" s="23"/>
    </row>
    <row r="26" spans="1:25">
      <c r="A26" s="43">
        <v>15</v>
      </c>
      <c r="B26" s="48">
        <v>2</v>
      </c>
      <c r="C26" s="48" t="s">
        <v>237</v>
      </c>
      <c r="D26" s="49">
        <f t="shared" ref="D26" si="4">+E26+G26</f>
        <v>0</v>
      </c>
      <c r="E26" s="64">
        <v>0</v>
      </c>
      <c r="F26" s="66">
        <f>+E26*Precios!$C$5</f>
        <v>0</v>
      </c>
      <c r="G26" s="49"/>
      <c r="H26" s="90"/>
      <c r="I26" s="34"/>
      <c r="J26" s="35">
        <f>+I26*Precios!$C$6</f>
        <v>0</v>
      </c>
      <c r="K26" s="48"/>
      <c r="L26" s="50">
        <f>+K26*Precios!$C$7</f>
        <v>0</v>
      </c>
      <c r="M26" s="34">
        <v>0</v>
      </c>
      <c r="N26" s="165">
        <f>+M26*Precios!$C$8</f>
        <v>0</v>
      </c>
      <c r="O26" s="178">
        <f t="shared" ref="O26" si="5">+F26+J26+L26+N26-H26</f>
        <v>0</v>
      </c>
      <c r="P26" s="168">
        <f t="shared" ref="P26" si="6">+O26-(Q26+S26+W26+U26)</f>
        <v>-1000000</v>
      </c>
      <c r="Q26" s="52">
        <v>1000000</v>
      </c>
      <c r="R26" s="44" t="s">
        <v>16</v>
      </c>
      <c r="S26" s="47">
        <v>0</v>
      </c>
      <c r="T26" s="48"/>
      <c r="U26" s="47"/>
      <c r="V26" s="153"/>
      <c r="W26" s="156">
        <v>0</v>
      </c>
      <c r="X26" s="31"/>
      <c r="Y26" s="23"/>
    </row>
    <row r="27" spans="1:25">
      <c r="A27" s="43">
        <f>+A26+1</f>
        <v>16</v>
      </c>
      <c r="B27" s="48">
        <v>2</v>
      </c>
      <c r="C27" s="48" t="s">
        <v>76</v>
      </c>
      <c r="D27" s="49">
        <f t="shared" si="2"/>
        <v>60</v>
      </c>
      <c r="E27" s="64">
        <v>60</v>
      </c>
      <c r="F27" s="66">
        <f>+E27*Precios!$C$5</f>
        <v>3600000</v>
      </c>
      <c r="G27" s="49"/>
      <c r="H27" s="90">
        <f>5*60000</f>
        <v>300000</v>
      </c>
      <c r="I27" s="34"/>
      <c r="J27" s="35">
        <f>+I27*Precios!$C$6</f>
        <v>0</v>
      </c>
      <c r="K27" s="48"/>
      <c r="L27" s="50">
        <f>+K27*Precios!$C$7</f>
        <v>0</v>
      </c>
      <c r="M27" s="34">
        <v>0</v>
      </c>
      <c r="N27" s="165">
        <f>+M27*Precios!$C$8</f>
        <v>0</v>
      </c>
      <c r="O27" s="178">
        <f t="shared" si="1"/>
        <v>3300000</v>
      </c>
      <c r="P27" s="168">
        <f t="shared" si="3"/>
        <v>660000</v>
      </c>
      <c r="Q27" s="52">
        <v>2640000</v>
      </c>
      <c r="R27" s="48" t="s">
        <v>45</v>
      </c>
      <c r="S27" s="47">
        <v>0</v>
      </c>
      <c r="T27" s="48"/>
      <c r="U27" s="47"/>
      <c r="V27" s="153"/>
      <c r="W27" s="156">
        <v>0</v>
      </c>
      <c r="X27" s="31"/>
      <c r="Y27" s="23"/>
    </row>
    <row r="28" spans="1:25">
      <c r="A28" s="43">
        <f t="shared" ref="A28:A44" si="7">+A27+1</f>
        <v>17</v>
      </c>
      <c r="B28" s="48">
        <v>2</v>
      </c>
      <c r="C28" s="48" t="s">
        <v>63</v>
      </c>
      <c r="D28" s="49">
        <f t="shared" si="2"/>
        <v>15</v>
      </c>
      <c r="E28" s="64">
        <v>15</v>
      </c>
      <c r="F28" s="66">
        <f>+E28*Precios!$C$5</f>
        <v>900000</v>
      </c>
      <c r="G28" s="49"/>
      <c r="H28" s="90"/>
      <c r="I28" s="34"/>
      <c r="J28" s="35">
        <f>+I28*Precios!$C$6</f>
        <v>0</v>
      </c>
      <c r="K28" s="48"/>
      <c r="L28" s="50">
        <f>+K28*Precios!$C$7</f>
        <v>0</v>
      </c>
      <c r="M28" s="34">
        <v>0</v>
      </c>
      <c r="N28" s="165">
        <f>+M28*Precios!$C$8</f>
        <v>0</v>
      </c>
      <c r="O28" s="178">
        <f t="shared" si="1"/>
        <v>900000</v>
      </c>
      <c r="P28" s="168">
        <f t="shared" si="3"/>
        <v>240000</v>
      </c>
      <c r="Q28" s="52">
        <f>260000+400000</f>
        <v>660000</v>
      </c>
      <c r="R28" s="201" t="s">
        <v>17</v>
      </c>
      <c r="S28" s="47">
        <v>0</v>
      </c>
      <c r="T28" s="48"/>
      <c r="U28" s="47"/>
      <c r="V28" s="153"/>
      <c r="W28" s="156">
        <v>0</v>
      </c>
      <c r="X28" s="31"/>
      <c r="Y28" s="23"/>
    </row>
    <row r="29" spans="1:25">
      <c r="A29" s="43">
        <f t="shared" si="7"/>
        <v>18</v>
      </c>
      <c r="B29" s="48">
        <v>2</v>
      </c>
      <c r="C29" s="48" t="s">
        <v>60</v>
      </c>
      <c r="D29" s="49">
        <f t="shared" si="2"/>
        <v>0</v>
      </c>
      <c r="E29" s="64"/>
      <c r="F29" s="66">
        <f>+E29*Precios!$C$5</f>
        <v>0</v>
      </c>
      <c r="G29" s="49"/>
      <c r="H29" s="90"/>
      <c r="I29" s="34"/>
      <c r="J29" s="35">
        <f>+I29*Precios!$C$6</f>
        <v>0</v>
      </c>
      <c r="K29" s="48"/>
      <c r="L29" s="50">
        <f>+K29*Precios!$C$7</f>
        <v>0</v>
      </c>
      <c r="M29" s="34">
        <v>0</v>
      </c>
      <c r="N29" s="165">
        <f>+M29*Precios!$C$8</f>
        <v>0</v>
      </c>
      <c r="O29" s="178">
        <f t="shared" si="1"/>
        <v>0</v>
      </c>
      <c r="P29" s="168">
        <f t="shared" si="3"/>
        <v>-2000000</v>
      </c>
      <c r="Q29" s="52">
        <f>1000000+1000000</f>
        <v>2000000</v>
      </c>
      <c r="R29" s="48" t="s">
        <v>17</v>
      </c>
      <c r="S29" s="47">
        <v>0</v>
      </c>
      <c r="T29" s="48"/>
      <c r="U29" s="47"/>
      <c r="V29" s="153"/>
      <c r="W29" s="156">
        <v>0</v>
      </c>
      <c r="X29" s="31"/>
      <c r="Y29" s="23"/>
    </row>
    <row r="30" spans="1:25">
      <c r="A30" s="43">
        <f t="shared" si="7"/>
        <v>19</v>
      </c>
      <c r="B30" s="48">
        <v>2</v>
      </c>
      <c r="C30" s="48" t="s">
        <v>80</v>
      </c>
      <c r="D30" s="49">
        <f t="shared" si="2"/>
        <v>95</v>
      </c>
      <c r="E30" s="64">
        <v>95</v>
      </c>
      <c r="F30" s="66">
        <f>+E30*Precios!$C$5</f>
        <v>5700000</v>
      </c>
      <c r="G30" s="49"/>
      <c r="H30" s="90"/>
      <c r="I30" s="34"/>
      <c r="J30" s="35">
        <f>+I30*Precios!$C$6</f>
        <v>0</v>
      </c>
      <c r="K30" s="48"/>
      <c r="L30" s="50">
        <f>+K30*Precios!$C$7</f>
        <v>0</v>
      </c>
      <c r="M30" s="34">
        <v>0</v>
      </c>
      <c r="N30" s="165">
        <f>+M30*Precios!$C$8</f>
        <v>0</v>
      </c>
      <c r="O30" s="178">
        <f t="shared" si="1"/>
        <v>5700000</v>
      </c>
      <c r="P30" s="168">
        <f t="shared" si="3"/>
        <v>5700000</v>
      </c>
      <c r="Q30" s="52">
        <v>0</v>
      </c>
      <c r="R30" s="48"/>
      <c r="S30" s="47">
        <v>0</v>
      </c>
      <c r="T30" s="48"/>
      <c r="U30" s="47"/>
      <c r="V30" s="153"/>
      <c r="W30" s="156">
        <v>0</v>
      </c>
      <c r="X30" s="31"/>
      <c r="Y30" s="23"/>
    </row>
    <row r="31" spans="1:25">
      <c r="A31" s="43">
        <f t="shared" si="7"/>
        <v>20</v>
      </c>
      <c r="B31" s="48">
        <v>2</v>
      </c>
      <c r="C31" s="48" t="s">
        <v>73</v>
      </c>
      <c r="D31" s="49">
        <f t="shared" si="2"/>
        <v>0</v>
      </c>
      <c r="E31" s="64"/>
      <c r="F31" s="66">
        <f>+E31*Precios!$C$5</f>
        <v>0</v>
      </c>
      <c r="G31" s="49"/>
      <c r="H31" s="90"/>
      <c r="I31" s="34"/>
      <c r="J31" s="35">
        <f>+I31*Precios!$C$6</f>
        <v>0</v>
      </c>
      <c r="K31" s="48"/>
      <c r="L31" s="50">
        <f>+K31*Precios!$C$7</f>
        <v>0</v>
      </c>
      <c r="M31" s="34">
        <v>0</v>
      </c>
      <c r="N31" s="165">
        <f>+M31*Precios!$C$8</f>
        <v>0</v>
      </c>
      <c r="O31" s="178">
        <f t="shared" si="1"/>
        <v>0</v>
      </c>
      <c r="P31" s="168">
        <f t="shared" si="3"/>
        <v>0</v>
      </c>
      <c r="Q31" s="52">
        <v>0</v>
      </c>
      <c r="R31" s="48"/>
      <c r="S31" s="47">
        <v>0</v>
      </c>
      <c r="T31" s="48"/>
      <c r="U31" s="47"/>
      <c r="V31" s="153"/>
      <c r="W31" s="156">
        <v>0</v>
      </c>
      <c r="X31" s="31"/>
      <c r="Y31" s="23"/>
    </row>
    <row r="32" spans="1:25">
      <c r="A32" s="43">
        <f t="shared" si="7"/>
        <v>21</v>
      </c>
      <c r="B32" s="48">
        <v>2</v>
      </c>
      <c r="C32" s="48" t="s">
        <v>84</v>
      </c>
      <c r="D32" s="49">
        <f t="shared" si="2"/>
        <v>0</v>
      </c>
      <c r="E32" s="64"/>
      <c r="F32" s="66">
        <f>+E32*Precios!$C$5</f>
        <v>0</v>
      </c>
      <c r="G32" s="49"/>
      <c r="H32" s="90"/>
      <c r="I32" s="34"/>
      <c r="J32" s="35">
        <f>+I32*Precios!$C$6</f>
        <v>0</v>
      </c>
      <c r="K32" s="48"/>
      <c r="L32" s="50">
        <f>+K32*Precios!$C$7</f>
        <v>0</v>
      </c>
      <c r="M32" s="34">
        <v>0</v>
      </c>
      <c r="N32" s="165">
        <f>+M32*Precios!$C$8</f>
        <v>0</v>
      </c>
      <c r="O32" s="178">
        <f t="shared" si="1"/>
        <v>0</v>
      </c>
      <c r="P32" s="168">
        <f t="shared" si="3"/>
        <v>0</v>
      </c>
      <c r="Q32" s="52">
        <v>0</v>
      </c>
      <c r="R32" s="48"/>
      <c r="S32" s="47">
        <v>0</v>
      </c>
      <c r="T32" s="48"/>
      <c r="U32" s="47"/>
      <c r="V32" s="153"/>
      <c r="W32" s="156">
        <v>0</v>
      </c>
      <c r="X32" s="31"/>
      <c r="Y32" s="23"/>
    </row>
    <row r="33" spans="1:25">
      <c r="A33" s="43">
        <f t="shared" si="7"/>
        <v>22</v>
      </c>
      <c r="B33" s="48">
        <v>2</v>
      </c>
      <c r="C33" s="48" t="s">
        <v>69</v>
      </c>
      <c r="D33" s="49">
        <f t="shared" si="2"/>
        <v>0</v>
      </c>
      <c r="E33" s="64"/>
      <c r="F33" s="66">
        <f>+E33*Precios!$C$5</f>
        <v>0</v>
      </c>
      <c r="G33" s="49"/>
      <c r="H33" s="90"/>
      <c r="I33" s="34"/>
      <c r="J33" s="35">
        <f>+I33*Precios!$C$6</f>
        <v>0</v>
      </c>
      <c r="K33" s="48"/>
      <c r="L33" s="50">
        <f>+K33*Precios!$C$7</f>
        <v>0</v>
      </c>
      <c r="M33" s="34">
        <v>0</v>
      </c>
      <c r="N33" s="165">
        <f>+M33*Precios!$C$8</f>
        <v>0</v>
      </c>
      <c r="O33" s="178">
        <f t="shared" si="1"/>
        <v>0</v>
      </c>
      <c r="P33" s="168">
        <f t="shared" si="3"/>
        <v>-180000</v>
      </c>
      <c r="Q33" s="52">
        <v>180000</v>
      </c>
      <c r="R33" s="48" t="s">
        <v>45</v>
      </c>
      <c r="S33" s="47">
        <v>0</v>
      </c>
      <c r="T33" s="48"/>
      <c r="U33" s="47"/>
      <c r="V33" s="153"/>
      <c r="W33" s="156">
        <v>0</v>
      </c>
      <c r="X33" s="31"/>
      <c r="Y33" s="23"/>
    </row>
    <row r="34" spans="1:25">
      <c r="A34" s="43">
        <f t="shared" si="7"/>
        <v>23</v>
      </c>
      <c r="B34" s="48">
        <v>2</v>
      </c>
      <c r="C34" s="48" t="s">
        <v>81</v>
      </c>
      <c r="D34" s="49">
        <f t="shared" si="2"/>
        <v>67</v>
      </c>
      <c r="E34" s="64">
        <v>67</v>
      </c>
      <c r="F34" s="66">
        <f>+E34*Precios!$C$5</f>
        <v>4020000</v>
      </c>
      <c r="G34" s="49"/>
      <c r="H34" s="90"/>
      <c r="I34" s="34"/>
      <c r="J34" s="35">
        <f>+I34*Precios!$C$6</f>
        <v>0</v>
      </c>
      <c r="K34" s="48"/>
      <c r="L34" s="50">
        <f>+K34*Precios!$C$7</f>
        <v>0</v>
      </c>
      <c r="M34" s="34">
        <v>0</v>
      </c>
      <c r="N34" s="165">
        <f>+M34*Precios!$C$8</f>
        <v>0</v>
      </c>
      <c r="O34" s="178">
        <f t="shared" si="1"/>
        <v>4020000</v>
      </c>
      <c r="P34" s="168">
        <f t="shared" si="3"/>
        <v>4020000</v>
      </c>
      <c r="Q34" s="52">
        <v>0</v>
      </c>
      <c r="R34" s="48"/>
      <c r="S34" s="47">
        <v>0</v>
      </c>
      <c r="T34" s="48"/>
      <c r="U34" s="47"/>
      <c r="V34" s="153"/>
      <c r="W34" s="156">
        <v>0</v>
      </c>
      <c r="X34" s="31"/>
      <c r="Y34" s="23"/>
    </row>
    <row r="35" spans="1:25">
      <c r="A35" s="43">
        <f t="shared" si="7"/>
        <v>24</v>
      </c>
      <c r="B35" s="48">
        <v>2</v>
      </c>
      <c r="C35" s="48" t="s">
        <v>71</v>
      </c>
      <c r="D35" s="49">
        <f t="shared" si="2"/>
        <v>49</v>
      </c>
      <c r="E35" s="64">
        <v>49</v>
      </c>
      <c r="F35" s="66">
        <f>+E35*Precios!$C$5</f>
        <v>2940000</v>
      </c>
      <c r="G35" s="49"/>
      <c r="H35" s="90">
        <v>140000</v>
      </c>
      <c r="I35" s="34"/>
      <c r="J35" s="35">
        <f>+I35*Precios!$C$6</f>
        <v>0</v>
      </c>
      <c r="K35" s="48"/>
      <c r="L35" s="50">
        <f>+K35*Precios!$C$7</f>
        <v>0</v>
      </c>
      <c r="M35" s="34">
        <v>0</v>
      </c>
      <c r="N35" s="165">
        <f>+M35*Precios!$C$8</f>
        <v>0</v>
      </c>
      <c r="O35" s="178">
        <f>+F35+J35+L35+N35-H35</f>
        <v>2800000</v>
      </c>
      <c r="P35" s="168">
        <f t="shared" si="3"/>
        <v>0</v>
      </c>
      <c r="Q35" s="52">
        <v>2800000</v>
      </c>
      <c r="R35" s="44" t="s">
        <v>6</v>
      </c>
      <c r="S35" s="47">
        <v>0</v>
      </c>
      <c r="T35" s="48"/>
      <c r="U35" s="47"/>
      <c r="V35" s="153"/>
      <c r="W35" s="156">
        <v>0</v>
      </c>
      <c r="X35" s="31"/>
      <c r="Y35" s="23"/>
    </row>
    <row r="36" spans="1:25">
      <c r="A36" s="43">
        <f t="shared" si="7"/>
        <v>25</v>
      </c>
      <c r="B36" s="48">
        <v>2</v>
      </c>
      <c r="C36" s="48" t="s">
        <v>210</v>
      </c>
      <c r="D36" s="49">
        <f t="shared" si="2"/>
        <v>0</v>
      </c>
      <c r="E36" s="64"/>
      <c r="F36" s="66">
        <f>+E36*Precios!$C$5</f>
        <v>0</v>
      </c>
      <c r="G36" s="49"/>
      <c r="H36" s="90"/>
      <c r="I36" s="34"/>
      <c r="J36" s="35">
        <f>+I36*Precios!$C$6</f>
        <v>0</v>
      </c>
      <c r="K36" s="48"/>
      <c r="L36" s="50">
        <f>+K36*Precios!$C$7</f>
        <v>0</v>
      </c>
      <c r="M36" s="34">
        <v>0</v>
      </c>
      <c r="N36" s="165">
        <f>+M36*Precios!$C$8</f>
        <v>0</v>
      </c>
      <c r="O36" s="178">
        <f t="shared" ref="O36:O44" si="8">+F36+J36+L36+N36-H36</f>
        <v>0</v>
      </c>
      <c r="P36" s="168">
        <f t="shared" si="3"/>
        <v>-200000</v>
      </c>
      <c r="Q36" s="52">
        <v>200000</v>
      </c>
      <c r="R36" s="48" t="s">
        <v>45</v>
      </c>
      <c r="S36" s="47">
        <v>0</v>
      </c>
      <c r="T36" s="48"/>
      <c r="U36" s="47"/>
      <c r="V36" s="153"/>
      <c r="W36" s="156">
        <v>0</v>
      </c>
      <c r="X36" s="31"/>
      <c r="Y36" s="23"/>
    </row>
    <row r="37" spans="1:25">
      <c r="A37" s="43">
        <f t="shared" si="7"/>
        <v>26</v>
      </c>
      <c r="B37" s="48">
        <v>2</v>
      </c>
      <c r="C37" s="48" t="s">
        <v>75</v>
      </c>
      <c r="D37" s="49">
        <f t="shared" si="2"/>
        <v>0</v>
      </c>
      <c r="E37" s="64"/>
      <c r="F37" s="66">
        <f>+E37*Precios!$C$5</f>
        <v>0</v>
      </c>
      <c r="G37" s="49"/>
      <c r="H37" s="90"/>
      <c r="I37" s="34"/>
      <c r="J37" s="35">
        <f>+I37*Precios!$C$6</f>
        <v>0</v>
      </c>
      <c r="K37" s="48"/>
      <c r="L37" s="50">
        <f>+K37*Precios!$C$7</f>
        <v>0</v>
      </c>
      <c r="M37" s="34">
        <v>0</v>
      </c>
      <c r="N37" s="165">
        <f>+M37*Precios!$C$8</f>
        <v>0</v>
      </c>
      <c r="O37" s="178">
        <f t="shared" si="8"/>
        <v>0</v>
      </c>
      <c r="P37" s="168">
        <f t="shared" si="3"/>
        <v>0</v>
      </c>
      <c r="Q37" s="52">
        <v>0</v>
      </c>
      <c r="R37" s="48"/>
      <c r="S37" s="47">
        <v>0</v>
      </c>
      <c r="T37" s="48"/>
      <c r="U37" s="47"/>
      <c r="V37" s="153"/>
      <c r="W37" s="156">
        <v>0</v>
      </c>
      <c r="X37" s="31"/>
      <c r="Y37" s="23"/>
    </row>
    <row r="38" spans="1:25">
      <c r="A38" s="43">
        <f t="shared" si="7"/>
        <v>27</v>
      </c>
      <c r="B38" s="48">
        <v>2</v>
      </c>
      <c r="C38" s="48" t="s">
        <v>82</v>
      </c>
      <c r="D38" s="49">
        <f t="shared" si="2"/>
        <v>0</v>
      </c>
      <c r="E38" s="64"/>
      <c r="F38" s="66">
        <f>+E38*Precios!$C$5</f>
        <v>0</v>
      </c>
      <c r="G38" s="49"/>
      <c r="H38" s="90"/>
      <c r="I38" s="34"/>
      <c r="J38" s="35">
        <f>+I38*Precios!$C$6</f>
        <v>0</v>
      </c>
      <c r="K38" s="48"/>
      <c r="L38" s="50">
        <f>+K38*Precios!$C$7</f>
        <v>0</v>
      </c>
      <c r="M38" s="34">
        <v>0</v>
      </c>
      <c r="N38" s="165">
        <f>+M38*Precios!$C$8</f>
        <v>0</v>
      </c>
      <c r="O38" s="178">
        <f t="shared" si="8"/>
        <v>0</v>
      </c>
      <c r="P38" s="168">
        <f t="shared" si="3"/>
        <v>0</v>
      </c>
      <c r="Q38" s="52">
        <v>0</v>
      </c>
      <c r="R38" s="48"/>
      <c r="S38" s="47">
        <v>0</v>
      </c>
      <c r="T38" s="48"/>
      <c r="U38" s="47"/>
      <c r="V38" s="153"/>
      <c r="W38" s="156">
        <v>0</v>
      </c>
      <c r="X38" s="31"/>
      <c r="Y38" s="23"/>
    </row>
    <row r="39" spans="1:25">
      <c r="A39" s="43">
        <f t="shared" si="7"/>
        <v>28</v>
      </c>
      <c r="B39" s="48">
        <v>2</v>
      </c>
      <c r="C39" s="48" t="s">
        <v>64</v>
      </c>
      <c r="D39" s="49">
        <f t="shared" si="2"/>
        <v>75</v>
      </c>
      <c r="E39" s="64">
        <v>75</v>
      </c>
      <c r="F39" s="66">
        <f>+E39*Precios!$C$5</f>
        <v>4500000</v>
      </c>
      <c r="G39" s="49"/>
      <c r="H39" s="90"/>
      <c r="I39" s="34">
        <v>75</v>
      </c>
      <c r="J39" s="35">
        <f>+I39*Precios!$C$6</f>
        <v>2250000</v>
      </c>
      <c r="K39" s="48"/>
      <c r="L39" s="50">
        <f>+K39*Precios!$C$7</f>
        <v>0</v>
      </c>
      <c r="M39" s="34">
        <v>0</v>
      </c>
      <c r="N39" s="165">
        <f>+M39*Precios!$C$8</f>
        <v>0</v>
      </c>
      <c r="O39" s="178">
        <f t="shared" si="8"/>
        <v>6750000</v>
      </c>
      <c r="P39" s="168">
        <f t="shared" si="3"/>
        <v>3190000</v>
      </c>
      <c r="Q39" s="52">
        <v>3560000</v>
      </c>
      <c r="R39" s="48" t="s">
        <v>16</v>
      </c>
      <c r="S39" s="47">
        <v>0</v>
      </c>
      <c r="T39" s="48"/>
      <c r="U39" s="47"/>
      <c r="V39" s="153"/>
      <c r="W39" s="156">
        <v>0</v>
      </c>
      <c r="X39" s="31"/>
      <c r="Y39" s="23"/>
    </row>
    <row r="40" spans="1:25">
      <c r="A40" s="43">
        <f t="shared" si="7"/>
        <v>29</v>
      </c>
      <c r="B40" s="48">
        <v>2</v>
      </c>
      <c r="C40" s="48" t="s">
        <v>62</v>
      </c>
      <c r="D40" s="49">
        <f t="shared" si="2"/>
        <v>35</v>
      </c>
      <c r="E40" s="64">
        <f>23+12</f>
        <v>35</v>
      </c>
      <c r="F40" s="66">
        <f>+E40*Precios!$C$5</f>
        <v>2100000</v>
      </c>
      <c r="G40" s="49"/>
      <c r="H40" s="90"/>
      <c r="I40" s="34">
        <v>24</v>
      </c>
      <c r="J40" s="35">
        <f>+I40*Precios!$C$6</f>
        <v>720000</v>
      </c>
      <c r="K40" s="48"/>
      <c r="L40" s="50">
        <f>+K40*Precios!$C$7</f>
        <v>0</v>
      </c>
      <c r="M40" s="34">
        <v>0</v>
      </c>
      <c r="N40" s="165">
        <f>+M40*Precios!$C$8</f>
        <v>0</v>
      </c>
      <c r="O40" s="178">
        <f t="shared" si="8"/>
        <v>2820000</v>
      </c>
      <c r="P40" s="168">
        <f t="shared" si="3"/>
        <v>0</v>
      </c>
      <c r="Q40" s="52">
        <v>300000</v>
      </c>
      <c r="R40" s="48" t="s">
        <v>45</v>
      </c>
      <c r="S40" s="47">
        <f>990000+1500000+30000</f>
        <v>2520000</v>
      </c>
      <c r="T40" s="48" t="s">
        <v>16</v>
      </c>
      <c r="U40" s="47"/>
      <c r="V40" s="153"/>
      <c r="W40" s="156">
        <v>0</v>
      </c>
      <c r="X40" s="31"/>
      <c r="Y40" s="23"/>
    </row>
    <row r="41" spans="1:25">
      <c r="A41" s="43">
        <f t="shared" si="7"/>
        <v>30</v>
      </c>
      <c r="B41" s="48">
        <v>2</v>
      </c>
      <c r="C41" s="48" t="s">
        <v>67</v>
      </c>
      <c r="D41" s="49">
        <f t="shared" si="2"/>
        <v>95</v>
      </c>
      <c r="E41" s="64">
        <v>95</v>
      </c>
      <c r="F41" s="66">
        <f>+E41*Precios!$C$5</f>
        <v>5700000</v>
      </c>
      <c r="G41" s="49"/>
      <c r="H41" s="90"/>
      <c r="I41" s="34"/>
      <c r="J41" s="35">
        <f>+I41*Precios!$C$6</f>
        <v>0</v>
      </c>
      <c r="K41" s="48"/>
      <c r="L41" s="50">
        <f>+K41*Precios!$C$7</f>
        <v>0</v>
      </c>
      <c r="M41" s="34">
        <v>0</v>
      </c>
      <c r="N41" s="165">
        <f>+M41*Precios!$C$8</f>
        <v>0</v>
      </c>
      <c r="O41" s="178">
        <f t="shared" si="8"/>
        <v>5700000</v>
      </c>
      <c r="P41" s="168">
        <f t="shared" si="3"/>
        <v>5700000</v>
      </c>
      <c r="Q41" s="52">
        <v>0</v>
      </c>
      <c r="R41" s="48"/>
      <c r="S41" s="47">
        <v>0</v>
      </c>
      <c r="T41" s="48"/>
      <c r="U41" s="47"/>
      <c r="V41" s="153"/>
      <c r="W41" s="156">
        <v>0</v>
      </c>
      <c r="X41" s="31"/>
      <c r="Y41" s="23"/>
    </row>
    <row r="42" spans="1:25">
      <c r="A42" s="43">
        <f t="shared" si="7"/>
        <v>31</v>
      </c>
      <c r="B42" s="48">
        <v>2</v>
      </c>
      <c r="C42" s="48" t="s">
        <v>79</v>
      </c>
      <c r="D42" s="49">
        <f t="shared" si="2"/>
        <v>61</v>
      </c>
      <c r="E42" s="64">
        <v>61</v>
      </c>
      <c r="F42" s="66">
        <f>+E42*Precios!$C$5</f>
        <v>3660000</v>
      </c>
      <c r="G42" s="49"/>
      <c r="H42" s="90"/>
      <c r="I42" s="34"/>
      <c r="J42" s="35">
        <f>+I42*Precios!$C$6</f>
        <v>0</v>
      </c>
      <c r="K42" s="48"/>
      <c r="L42" s="50">
        <f>+K42*Precios!$C$7</f>
        <v>0</v>
      </c>
      <c r="M42" s="34">
        <v>0</v>
      </c>
      <c r="N42" s="165">
        <f>+M42*Precios!$C$8</f>
        <v>0</v>
      </c>
      <c r="O42" s="178">
        <f t="shared" si="8"/>
        <v>3660000</v>
      </c>
      <c r="P42" s="168">
        <f t="shared" si="3"/>
        <v>3660000</v>
      </c>
      <c r="Q42" s="52">
        <v>0</v>
      </c>
      <c r="R42" s="48"/>
      <c r="S42" s="47">
        <v>0</v>
      </c>
      <c r="T42" s="48"/>
      <c r="U42" s="47"/>
      <c r="V42" s="153"/>
      <c r="W42" s="156">
        <v>0</v>
      </c>
      <c r="X42" s="31"/>
      <c r="Y42" s="23"/>
    </row>
    <row r="43" spans="1:25">
      <c r="A43" s="43">
        <f t="shared" si="7"/>
        <v>32</v>
      </c>
      <c r="B43" s="48">
        <v>2</v>
      </c>
      <c r="C43" s="48" t="s">
        <v>74</v>
      </c>
      <c r="D43" s="49">
        <f t="shared" si="2"/>
        <v>0</v>
      </c>
      <c r="E43" s="64"/>
      <c r="F43" s="66">
        <f>+E43*Precios!$C$5</f>
        <v>0</v>
      </c>
      <c r="G43" s="49"/>
      <c r="H43" s="90"/>
      <c r="I43" s="34"/>
      <c r="J43" s="35">
        <f>+I43*Precios!$C$6</f>
        <v>0</v>
      </c>
      <c r="K43" s="48"/>
      <c r="L43" s="50">
        <f>+K43*Precios!$C$7</f>
        <v>0</v>
      </c>
      <c r="M43" s="34">
        <v>0</v>
      </c>
      <c r="N43" s="165">
        <f>+M43*Precios!$C$8</f>
        <v>0</v>
      </c>
      <c r="O43" s="178">
        <f t="shared" si="8"/>
        <v>0</v>
      </c>
      <c r="P43" s="168">
        <f t="shared" si="3"/>
        <v>-2500000</v>
      </c>
      <c r="Q43" s="52">
        <v>800000</v>
      </c>
      <c r="R43" s="48" t="s">
        <v>213</v>
      </c>
      <c r="S43" s="47">
        <v>1700000</v>
      </c>
      <c r="T43" s="48" t="s">
        <v>16</v>
      </c>
      <c r="U43" s="47"/>
      <c r="V43" s="153"/>
      <c r="W43" s="156">
        <v>0</v>
      </c>
      <c r="X43" s="31"/>
      <c r="Y43" s="23"/>
    </row>
    <row r="44" spans="1:25" ht="14.4" thickBot="1">
      <c r="A44" s="43">
        <f t="shared" si="7"/>
        <v>33</v>
      </c>
      <c r="B44" s="48">
        <v>2</v>
      </c>
      <c r="C44" s="48" t="s">
        <v>85</v>
      </c>
      <c r="D44" s="49">
        <f t="shared" si="2"/>
        <v>90</v>
      </c>
      <c r="E44" s="64">
        <v>85</v>
      </c>
      <c r="F44" s="66">
        <f>+E44*Precios!$C$5</f>
        <v>5100000</v>
      </c>
      <c r="G44" s="49">
        <v>5</v>
      </c>
      <c r="H44" s="90"/>
      <c r="I44" s="34"/>
      <c r="J44" s="35">
        <f>+I44*Precios!$C$6</f>
        <v>0</v>
      </c>
      <c r="K44" s="48"/>
      <c r="L44" s="50">
        <f>+K44*Precios!$C$7</f>
        <v>0</v>
      </c>
      <c r="M44" s="34">
        <v>0</v>
      </c>
      <c r="N44" s="165">
        <f>+M44*Precios!$C$8</f>
        <v>0</v>
      </c>
      <c r="O44" s="179">
        <f t="shared" si="8"/>
        <v>5100000</v>
      </c>
      <c r="P44" s="169">
        <f t="shared" si="3"/>
        <v>4300000</v>
      </c>
      <c r="Q44" s="53">
        <v>800000</v>
      </c>
      <c r="R44" s="54" t="s">
        <v>17</v>
      </c>
      <c r="S44" s="55">
        <v>0</v>
      </c>
      <c r="T44" s="54"/>
      <c r="U44" s="55"/>
      <c r="V44" s="154"/>
      <c r="W44" s="157">
        <v>0</v>
      </c>
      <c r="X44" s="32"/>
      <c r="Y44" s="23"/>
    </row>
    <row r="45" spans="1:25">
      <c r="O45" s="8"/>
      <c r="P45" s="8"/>
    </row>
    <row r="46" spans="1:25">
      <c r="O46" s="8"/>
      <c r="P46" s="8"/>
    </row>
    <row r="47" spans="1:25">
      <c r="O47" s="8"/>
      <c r="P47" s="8"/>
    </row>
    <row r="48" spans="1:25">
      <c r="O48" s="8"/>
      <c r="P48" s="8"/>
    </row>
    <row r="49" spans="6:16">
      <c r="O49" s="8"/>
      <c r="P49" s="8"/>
    </row>
    <row r="50" spans="6:16">
      <c r="O50" s="8"/>
      <c r="P50" s="8"/>
    </row>
    <row r="51" spans="6:16">
      <c r="O51" s="8"/>
      <c r="P51" s="8"/>
    </row>
    <row r="52" spans="6:16">
      <c r="G52" s="3" t="s">
        <v>112</v>
      </c>
      <c r="H52" s="3" t="s">
        <v>226</v>
      </c>
      <c r="J52" t="s">
        <v>113</v>
      </c>
      <c r="O52" s="8"/>
      <c r="P52" s="8"/>
    </row>
    <row r="53" spans="6:16">
      <c r="F53" s="3" t="s">
        <v>25</v>
      </c>
      <c r="G53" s="162">
        <f>+F9-H9</f>
        <v>76780000</v>
      </c>
      <c r="H53" s="162">
        <f>+P9-H54</f>
        <v>27020000</v>
      </c>
      <c r="I53" s="8"/>
      <c r="J53" s="8">
        <f>+G53-H53</f>
        <v>49760000</v>
      </c>
      <c r="K53" s="8"/>
      <c r="O53" s="8"/>
      <c r="P53" s="8"/>
    </row>
    <row r="54" spans="6:16">
      <c r="F54" s="3" t="s">
        <v>19</v>
      </c>
      <c r="G54" s="162">
        <f>+J9+L9+N9</f>
        <v>12310000</v>
      </c>
      <c r="H54" s="162">
        <f>+IF(P9&gt;G54,G54)</f>
        <v>12310000</v>
      </c>
      <c r="I54" s="8"/>
      <c r="J54" s="8">
        <f>+G54-H54</f>
        <v>0</v>
      </c>
      <c r="K54" s="8"/>
      <c r="O54" s="8"/>
      <c r="P54" s="8"/>
    </row>
    <row r="58" spans="6:16">
      <c r="H58" s="162"/>
    </row>
  </sheetData>
  <sortState xmlns:xlrd2="http://schemas.microsoft.com/office/spreadsheetml/2017/richdata2" ref="B14:R44">
    <sortCondition ref="C14:C44"/>
  </sortState>
  <mergeCells count="5">
    <mergeCell ref="Q10:X10"/>
    <mergeCell ref="M10:N10"/>
    <mergeCell ref="E10:F10"/>
    <mergeCell ref="I10:J10"/>
    <mergeCell ref="K10:L10"/>
  </mergeCells>
  <conditionalFormatting sqref="P14:P44">
    <cfRule type="cellIs" dxfId="16" priority="1" operator="greaterThan">
      <formula>0</formula>
    </cfRule>
    <cfRule type="cellIs" dxfId="15" priority="2" operator="lessThan">
      <formula>0</formula>
    </cfRule>
    <cfRule type="cellIs" dxfId="14" priority="3" operator="equal">
      <formula>0</formula>
    </cfRule>
  </conditionalFormatting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1B6B6-9E38-4245-9BA5-51FF3C7F9B06}">
  <dimension ref="A2:AB163"/>
  <sheetViews>
    <sheetView topLeftCell="A71" zoomScale="70" zoomScaleNormal="70" workbookViewId="0">
      <selection activeCell="H63" sqref="H63"/>
    </sheetView>
  </sheetViews>
  <sheetFormatPr baseColWidth="10" defaultRowHeight="13.8"/>
  <cols>
    <col min="2" max="2" width="11.19921875" style="8"/>
    <col min="3" max="3" width="31.5" customWidth="1"/>
    <col min="4" max="4" width="10.19921875" style="2" customWidth="1"/>
    <col min="5" max="5" width="12.69921875" customWidth="1"/>
    <col min="6" max="7" width="13.19921875" customWidth="1"/>
    <col min="9" max="9" width="20.59765625" customWidth="1"/>
    <col min="10" max="10" width="10.59765625" customWidth="1"/>
    <col min="11" max="11" width="23" bestFit="1" customWidth="1"/>
    <col min="12" max="12" width="11.19921875" style="8"/>
    <col min="13" max="13" width="18.8984375" customWidth="1"/>
  </cols>
  <sheetData>
    <row r="2" spans="3:10">
      <c r="C2" s="21" t="s">
        <v>144</v>
      </c>
      <c r="D2" s="22" t="s">
        <v>155</v>
      </c>
      <c r="E2" s="22" t="s">
        <v>129</v>
      </c>
      <c r="G2" s="8"/>
      <c r="H2" s="8"/>
    </row>
    <row r="3" spans="3:10">
      <c r="C3" t="s">
        <v>29</v>
      </c>
      <c r="D3" s="59">
        <v>1</v>
      </c>
      <c r="E3" s="8">
        <f>+Precios!C11</f>
        <v>700000</v>
      </c>
    </row>
    <row r="4" spans="3:10">
      <c r="C4" t="s">
        <v>30</v>
      </c>
      <c r="D4" s="59">
        <v>1</v>
      </c>
      <c r="E4" s="8">
        <f>+Precios!C12</f>
        <v>400000</v>
      </c>
    </row>
    <row r="5" spans="3:10">
      <c r="C5" t="s">
        <v>31</v>
      </c>
      <c r="D5" s="59">
        <v>1</v>
      </c>
      <c r="E5" s="8">
        <f>+Precios!C13</f>
        <v>100000</v>
      </c>
    </row>
    <row r="7" spans="3:10">
      <c r="C7" s="21" t="s">
        <v>145</v>
      </c>
      <c r="D7" s="22" t="s">
        <v>155</v>
      </c>
      <c r="E7" s="22" t="s">
        <v>129</v>
      </c>
      <c r="G7">
        <f>SUM(E8:E9)</f>
        <v>0</v>
      </c>
    </row>
    <row r="8" spans="3:10">
      <c r="C8" t="s">
        <v>27</v>
      </c>
    </row>
    <row r="9" spans="3:10">
      <c r="C9" t="s">
        <v>122</v>
      </c>
    </row>
    <row r="11" spans="3:10">
      <c r="J11" s="146">
        <f>+H27+H48+H62+H65+H67+J65+J78+H78+H96</f>
        <v>1727500</v>
      </c>
    </row>
    <row r="12" spans="3:10">
      <c r="C12" s="21" t="s">
        <v>146</v>
      </c>
      <c r="D12" s="57"/>
    </row>
    <row r="13" spans="3:10">
      <c r="C13" s="23" t="s">
        <v>101</v>
      </c>
      <c r="D13" s="58"/>
    </row>
    <row r="14" spans="3:10">
      <c r="C14" t="s">
        <v>103</v>
      </c>
    </row>
    <row r="15" spans="3:10">
      <c r="C15" t="s">
        <v>102</v>
      </c>
    </row>
    <row r="16" spans="3:10">
      <c r="C16" t="s">
        <v>152</v>
      </c>
    </row>
    <row r="19" spans="1:19">
      <c r="E19" s="101">
        <f>SUM(E22:E56)</f>
        <v>36594000</v>
      </c>
      <c r="F19" s="101">
        <f t="shared" ref="F19:G19" si="0">SUM(F22:F56)</f>
        <v>13184000</v>
      </c>
      <c r="G19" s="101">
        <f t="shared" si="0"/>
        <v>23410000</v>
      </c>
    </row>
    <row r="20" spans="1:19" ht="14.4" thickBot="1">
      <c r="C20" s="21" t="s">
        <v>147</v>
      </c>
      <c r="D20" s="57" t="s">
        <v>142</v>
      </c>
      <c r="E20" s="73" t="s">
        <v>129</v>
      </c>
      <c r="F20" s="73" t="s">
        <v>148</v>
      </c>
      <c r="G20" s="73" t="s">
        <v>149</v>
      </c>
      <c r="H20" s="74" t="s">
        <v>148</v>
      </c>
      <c r="I20" s="75" t="s">
        <v>150</v>
      </c>
      <c r="J20" s="73" t="s">
        <v>148</v>
      </c>
      <c r="K20" s="73" t="s">
        <v>151</v>
      </c>
      <c r="L20" s="74" t="s">
        <v>148</v>
      </c>
      <c r="M20" s="75" t="s">
        <v>158</v>
      </c>
      <c r="N20" s="74" t="s">
        <v>148</v>
      </c>
      <c r="O20" s="75" t="s">
        <v>158</v>
      </c>
      <c r="Q20" s="19" t="s">
        <v>16</v>
      </c>
      <c r="R20" s="19" t="s">
        <v>17</v>
      </c>
      <c r="S20" s="19" t="s">
        <v>45</v>
      </c>
    </row>
    <row r="21" spans="1:19">
      <c r="C21" s="21" t="s">
        <v>25</v>
      </c>
      <c r="D21" s="57"/>
      <c r="E21" s="57"/>
      <c r="F21" s="57"/>
      <c r="G21" s="57"/>
      <c r="H21" s="67"/>
      <c r="I21" s="68"/>
      <c r="J21" s="150"/>
      <c r="K21" s="57"/>
      <c r="L21" s="69"/>
      <c r="M21" s="70"/>
    </row>
    <row r="22" spans="1:19">
      <c r="B22" s="8">
        <v>1</v>
      </c>
      <c r="C22" t="s">
        <v>35</v>
      </c>
      <c r="E22" s="8"/>
      <c r="F22" s="8">
        <f t="shared" ref="F22:F47" si="1">+H22+J22+L22</f>
        <v>0</v>
      </c>
      <c r="G22" s="8">
        <f t="shared" ref="G22:G53" si="2">+E22-F22</f>
        <v>0</v>
      </c>
      <c r="H22" s="69"/>
      <c r="I22" s="70"/>
      <c r="J22" s="8"/>
      <c r="L22" s="69"/>
      <c r="M22" s="70"/>
      <c r="Q22" s="8">
        <f>+SUMIFS(H22:H126,I22:I126,Q20)+SUMIFS(J22:J126,K22:K126,Q20)+SUMIFS(L22:L126,M22:M126,Q20)+SUMIFS(N22:N126,O22:O126,Q20)</f>
        <v>2849000</v>
      </c>
      <c r="R22" s="8">
        <f>+SUMIFS(H22:H133,I22:I133,R20)+SUMIFS(J22:J133,K22:K133,R20)+SUMIFS(L22:L133,M22:M133,R20)+SUMIFS(N22:N133,O22:O133,R20)</f>
        <v>1635000</v>
      </c>
      <c r="S22" s="8">
        <f>+SUMIFS(H22:H138,I22:I138,S20)+SUMIFS(J22:J138,K22:K138,S20)+SUMIFS(L22:L138,M22:M138,S20)+SUMIFS(N22:N138,O22:O138,S20)</f>
        <v>0</v>
      </c>
    </row>
    <row r="23" spans="1:19">
      <c r="A23" s="4">
        <v>275000</v>
      </c>
      <c r="B23" s="8">
        <v>1</v>
      </c>
      <c r="C23" t="s">
        <v>175</v>
      </c>
      <c r="D23" s="2">
        <v>6</v>
      </c>
      <c r="E23" s="8">
        <f>+A23*D23</f>
        <v>1650000</v>
      </c>
      <c r="F23" s="8">
        <f t="shared" si="1"/>
        <v>0</v>
      </c>
      <c r="G23" s="8">
        <f t="shared" si="2"/>
        <v>1650000</v>
      </c>
      <c r="H23" s="69"/>
      <c r="I23" s="70"/>
      <c r="J23" s="8"/>
      <c r="L23" s="69"/>
      <c r="M23" s="70"/>
    </row>
    <row r="24" spans="1:19">
      <c r="A24" s="4">
        <v>275000</v>
      </c>
      <c r="B24" s="8">
        <v>1</v>
      </c>
      <c r="C24" t="s">
        <v>22</v>
      </c>
      <c r="D24" s="2">
        <v>32</v>
      </c>
      <c r="E24" s="8">
        <f t="shared" ref="E24:E25" si="3">+A24*D24</f>
        <v>8800000</v>
      </c>
      <c r="F24" s="8">
        <f t="shared" si="1"/>
        <v>7400000</v>
      </c>
      <c r="G24" s="8">
        <f t="shared" si="2"/>
        <v>1400000</v>
      </c>
      <c r="H24" s="69">
        <f>1200000+2520000</f>
        <v>3720000</v>
      </c>
      <c r="I24" s="70" t="s">
        <v>72</v>
      </c>
      <c r="J24" s="8">
        <v>800000</v>
      </c>
      <c r="K24" t="s">
        <v>74</v>
      </c>
      <c r="L24" s="69">
        <f>1080000+1800000</f>
        <v>2880000</v>
      </c>
      <c r="M24" s="70" t="s">
        <v>65</v>
      </c>
    </row>
    <row r="25" spans="1:19">
      <c r="A25" s="4">
        <v>280000</v>
      </c>
      <c r="B25" s="8">
        <v>1</v>
      </c>
      <c r="C25" t="s">
        <v>34</v>
      </c>
      <c r="D25" s="2">
        <v>9</v>
      </c>
      <c r="E25" s="8">
        <f t="shared" si="3"/>
        <v>2520000</v>
      </c>
      <c r="F25" s="8">
        <f t="shared" si="1"/>
        <v>0</v>
      </c>
      <c r="G25" s="8">
        <f t="shared" si="2"/>
        <v>2520000</v>
      </c>
      <c r="H25" s="69"/>
      <c r="I25" s="70"/>
      <c r="J25" s="8"/>
      <c r="L25" s="69"/>
      <c r="M25" s="70"/>
    </row>
    <row r="26" spans="1:19">
      <c r="B26" s="8">
        <v>1</v>
      </c>
      <c r="C26" t="s">
        <v>55</v>
      </c>
      <c r="E26" s="8"/>
      <c r="F26" s="8">
        <f t="shared" si="1"/>
        <v>0</v>
      </c>
      <c r="G26" s="8">
        <f t="shared" si="2"/>
        <v>0</v>
      </c>
      <c r="H26" s="69"/>
      <c r="I26" s="70"/>
      <c r="J26" s="8"/>
      <c r="K26" s="8"/>
      <c r="L26" s="69"/>
      <c r="M26" s="70"/>
    </row>
    <row r="27" spans="1:19">
      <c r="B27" s="8">
        <v>1</v>
      </c>
      <c r="C27" t="s">
        <v>177</v>
      </c>
      <c r="D27" s="2">
        <v>25</v>
      </c>
      <c r="E27" s="8">
        <v>330000</v>
      </c>
      <c r="F27" s="8">
        <f t="shared" ref="F27" si="4">+H27+J27+L27</f>
        <v>330000</v>
      </c>
      <c r="G27" s="8">
        <f t="shared" ref="G27" si="5">+E27-F27</f>
        <v>0</v>
      </c>
      <c r="H27" s="69">
        <v>330000</v>
      </c>
      <c r="I27" s="70" t="s">
        <v>16</v>
      </c>
      <c r="J27" s="8"/>
      <c r="K27" s="8"/>
      <c r="L27" s="69"/>
      <c r="M27" s="70"/>
    </row>
    <row r="28" spans="1:19">
      <c r="B28" s="8">
        <v>1</v>
      </c>
      <c r="C28" t="s">
        <v>216</v>
      </c>
      <c r="E28" s="8">
        <v>90000</v>
      </c>
      <c r="F28" s="8">
        <f t="shared" ref="F28" si="6">+H28+J28+L28</f>
        <v>90000</v>
      </c>
      <c r="G28" s="8">
        <f t="shared" ref="G28" si="7">+E28-F28</f>
        <v>0</v>
      </c>
      <c r="H28" s="69">
        <v>90000</v>
      </c>
      <c r="I28" s="70" t="s">
        <v>16</v>
      </c>
      <c r="J28" s="8"/>
      <c r="K28" s="8"/>
      <c r="L28" s="69"/>
      <c r="M28" s="70"/>
    </row>
    <row r="29" spans="1:19">
      <c r="B29" s="8">
        <v>1</v>
      </c>
      <c r="C29" t="s">
        <v>110</v>
      </c>
      <c r="E29" s="8"/>
      <c r="F29" s="8">
        <f t="shared" si="1"/>
        <v>0</v>
      </c>
      <c r="G29" s="8">
        <f t="shared" si="2"/>
        <v>0</v>
      </c>
      <c r="H29" s="69"/>
      <c r="I29" s="70"/>
      <c r="J29" s="8"/>
      <c r="L29" s="69"/>
      <c r="M29" s="70"/>
    </row>
    <row r="30" spans="1:19">
      <c r="B30" s="8">
        <v>1</v>
      </c>
      <c r="C30" t="s">
        <v>109</v>
      </c>
      <c r="E30" s="8"/>
      <c r="F30" s="8">
        <f t="shared" si="1"/>
        <v>0</v>
      </c>
      <c r="G30" s="8">
        <f t="shared" si="2"/>
        <v>0</v>
      </c>
      <c r="H30" s="69"/>
      <c r="I30" s="70"/>
      <c r="J30" s="8"/>
      <c r="L30" s="69"/>
      <c r="M30" s="70"/>
    </row>
    <row r="31" spans="1:19">
      <c r="B31" s="8">
        <v>1</v>
      </c>
      <c r="C31" t="s">
        <v>43</v>
      </c>
      <c r="E31" s="8">
        <v>290000</v>
      </c>
      <c r="F31" s="8">
        <f t="shared" si="1"/>
        <v>0</v>
      </c>
      <c r="G31" s="8">
        <f t="shared" si="2"/>
        <v>290000</v>
      </c>
      <c r="H31" s="69"/>
      <c r="I31" s="70"/>
      <c r="J31" s="8"/>
      <c r="L31" s="69"/>
      <c r="M31" s="70"/>
    </row>
    <row r="32" spans="1:19">
      <c r="B32" s="8">
        <v>1</v>
      </c>
      <c r="C32" t="s">
        <v>116</v>
      </c>
      <c r="E32" s="8"/>
      <c r="F32" s="8">
        <f t="shared" si="1"/>
        <v>0</v>
      </c>
      <c r="G32" s="8">
        <f t="shared" si="2"/>
        <v>0</v>
      </c>
      <c r="H32" s="69"/>
      <c r="I32" s="70"/>
      <c r="J32" s="8"/>
      <c r="K32" s="8"/>
      <c r="L32" s="69"/>
      <c r="M32" s="70"/>
    </row>
    <row r="33" spans="2:13">
      <c r="B33" s="8">
        <v>1</v>
      </c>
      <c r="C33" t="s">
        <v>120</v>
      </c>
      <c r="E33" s="8"/>
      <c r="F33" s="8">
        <f t="shared" si="1"/>
        <v>0</v>
      </c>
      <c r="G33" s="8">
        <f t="shared" si="2"/>
        <v>0</v>
      </c>
      <c r="H33" s="69"/>
      <c r="I33" s="70"/>
      <c r="J33" s="8"/>
      <c r="K33" s="8"/>
      <c r="L33" s="69"/>
      <c r="M33" s="70"/>
    </row>
    <row r="34" spans="2:13">
      <c r="B34" s="8">
        <v>1</v>
      </c>
      <c r="C34" t="s">
        <v>124</v>
      </c>
      <c r="E34" s="8">
        <v>800000</v>
      </c>
      <c r="F34" s="8">
        <f t="shared" si="1"/>
        <v>400000</v>
      </c>
      <c r="G34" s="8">
        <f t="shared" si="2"/>
        <v>400000</v>
      </c>
      <c r="H34" s="69">
        <v>400000</v>
      </c>
      <c r="I34" s="70" t="s">
        <v>16</v>
      </c>
      <c r="J34" s="8"/>
      <c r="L34" s="69"/>
      <c r="M34" s="70"/>
    </row>
    <row r="35" spans="2:13">
      <c r="B35" s="8">
        <v>1</v>
      </c>
      <c r="C35" t="s">
        <v>215</v>
      </c>
      <c r="E35" s="8">
        <v>50000</v>
      </c>
      <c r="F35" s="8">
        <f t="shared" ref="F35:F36" si="8">+H35+J35+L35</f>
        <v>50000</v>
      </c>
      <c r="G35" s="8">
        <f t="shared" ref="G35:G36" si="9">+E35-F35</f>
        <v>0</v>
      </c>
      <c r="H35" s="69">
        <v>50000</v>
      </c>
      <c r="I35" s="70" t="s">
        <v>16</v>
      </c>
      <c r="J35" s="8"/>
      <c r="L35" s="69"/>
      <c r="M35" s="70"/>
    </row>
    <row r="36" spans="2:13">
      <c r="B36" s="8">
        <v>1</v>
      </c>
      <c r="C36" t="s">
        <v>214</v>
      </c>
      <c r="E36" s="8">
        <v>50000</v>
      </c>
      <c r="F36" s="8">
        <f t="shared" si="8"/>
        <v>50000</v>
      </c>
      <c r="G36" s="8">
        <f t="shared" si="9"/>
        <v>0</v>
      </c>
      <c r="H36" s="69">
        <v>50000</v>
      </c>
      <c r="I36" s="70" t="s">
        <v>16</v>
      </c>
      <c r="J36" s="8"/>
      <c r="L36" s="69"/>
      <c r="M36" s="70"/>
    </row>
    <row r="37" spans="2:13">
      <c r="B37" s="8">
        <v>1</v>
      </c>
      <c r="C37" t="s">
        <v>217</v>
      </c>
      <c r="E37" s="8">
        <v>300000</v>
      </c>
      <c r="F37" s="8">
        <f t="shared" ref="F37" si="10">+H37+J37+L37</f>
        <v>300000</v>
      </c>
      <c r="G37" s="8">
        <f t="shared" ref="G37" si="11">+E37-F37</f>
        <v>0</v>
      </c>
      <c r="H37" s="69">
        <v>300000</v>
      </c>
      <c r="I37" s="70" t="s">
        <v>16</v>
      </c>
      <c r="J37" s="8"/>
      <c r="L37" s="69"/>
      <c r="M37" s="70"/>
    </row>
    <row r="38" spans="2:13">
      <c r="B38" s="8">
        <v>1</v>
      </c>
      <c r="C38" t="s">
        <v>125</v>
      </c>
      <c r="E38" s="8"/>
      <c r="F38" s="8">
        <f t="shared" si="1"/>
        <v>0</v>
      </c>
      <c r="G38" s="8">
        <f t="shared" si="2"/>
        <v>0</v>
      </c>
      <c r="H38" s="69"/>
      <c r="I38" s="70"/>
      <c r="J38" s="8"/>
      <c r="L38" s="69"/>
      <c r="M38" s="70"/>
    </row>
    <row r="39" spans="2:13">
      <c r="B39" s="8">
        <v>1</v>
      </c>
      <c r="C39" t="s">
        <v>36</v>
      </c>
      <c r="E39" s="8">
        <v>900000</v>
      </c>
      <c r="F39" s="8">
        <f t="shared" si="1"/>
        <v>900000</v>
      </c>
      <c r="G39" s="8">
        <f t="shared" si="2"/>
        <v>0</v>
      </c>
      <c r="H39" s="69">
        <v>900000</v>
      </c>
      <c r="I39" s="70" t="s">
        <v>17</v>
      </c>
      <c r="J39" s="8"/>
      <c r="L39" s="69"/>
      <c r="M39" s="70"/>
    </row>
    <row r="40" spans="2:13">
      <c r="B40" s="8">
        <v>1</v>
      </c>
      <c r="C40" t="s">
        <v>126</v>
      </c>
      <c r="E40" s="8"/>
      <c r="F40" s="8">
        <f t="shared" si="1"/>
        <v>0</v>
      </c>
      <c r="G40" s="8">
        <f t="shared" si="2"/>
        <v>0</v>
      </c>
      <c r="H40" s="69"/>
      <c r="I40" s="70"/>
      <c r="J40" s="8"/>
      <c r="K40" s="8"/>
      <c r="L40" s="69"/>
      <c r="M40" s="70"/>
    </row>
    <row r="41" spans="2:13">
      <c r="B41" s="8">
        <v>1</v>
      </c>
      <c r="C41" t="s">
        <v>119</v>
      </c>
      <c r="E41" s="8"/>
      <c r="F41" s="8">
        <f t="shared" si="1"/>
        <v>0</v>
      </c>
      <c r="G41" s="8">
        <f t="shared" si="2"/>
        <v>0</v>
      </c>
      <c r="H41" s="69"/>
      <c r="I41" s="70"/>
      <c r="J41" s="8"/>
      <c r="K41" s="8"/>
      <c r="L41" s="69"/>
      <c r="M41" s="70"/>
    </row>
    <row r="42" spans="2:13">
      <c r="B42" s="8">
        <v>1</v>
      </c>
      <c r="C42" t="s">
        <v>94</v>
      </c>
      <c r="E42" s="8"/>
      <c r="F42" s="8">
        <f t="shared" si="1"/>
        <v>0</v>
      </c>
      <c r="G42" s="8">
        <f t="shared" si="2"/>
        <v>0</v>
      </c>
      <c r="H42" s="69"/>
      <c r="I42" s="70"/>
      <c r="J42" s="8"/>
      <c r="L42" s="69"/>
      <c r="M42" s="70"/>
    </row>
    <row r="43" spans="2:13">
      <c r="B43" s="8">
        <v>1</v>
      </c>
      <c r="C43" t="s">
        <v>117</v>
      </c>
      <c r="E43" s="8"/>
      <c r="F43" s="8">
        <f t="shared" si="1"/>
        <v>0</v>
      </c>
      <c r="G43" s="8">
        <f t="shared" si="2"/>
        <v>0</v>
      </c>
      <c r="H43" s="69"/>
      <c r="I43" s="70"/>
      <c r="J43" s="8"/>
      <c r="K43" s="8"/>
      <c r="L43" s="69"/>
      <c r="M43" s="70"/>
    </row>
    <row r="44" spans="2:13">
      <c r="B44" s="8">
        <v>1</v>
      </c>
      <c r="C44" t="s">
        <v>95</v>
      </c>
      <c r="E44" s="8"/>
      <c r="F44" s="8">
        <f t="shared" si="1"/>
        <v>0</v>
      </c>
      <c r="G44" s="8">
        <f t="shared" si="2"/>
        <v>0</v>
      </c>
      <c r="H44" s="69"/>
      <c r="I44" s="72"/>
      <c r="J44" s="56"/>
      <c r="K44" s="8"/>
      <c r="L44" s="69"/>
      <c r="M44" s="70"/>
    </row>
    <row r="45" spans="2:13">
      <c r="B45" s="8">
        <v>1</v>
      </c>
      <c r="C45" t="s">
        <v>118</v>
      </c>
      <c r="E45" s="8"/>
      <c r="F45" s="8">
        <f t="shared" si="1"/>
        <v>0</v>
      </c>
      <c r="G45" s="8">
        <f t="shared" si="2"/>
        <v>0</v>
      </c>
      <c r="H45" s="69"/>
      <c r="I45" s="70"/>
      <c r="J45" s="8"/>
      <c r="K45" s="8"/>
      <c r="L45" s="69"/>
      <c r="M45" s="70"/>
    </row>
    <row r="46" spans="2:13">
      <c r="B46" s="8">
        <v>1</v>
      </c>
      <c r="C46" t="s">
        <v>37</v>
      </c>
      <c r="E46" s="8">
        <v>735000</v>
      </c>
      <c r="F46" s="8">
        <f t="shared" si="1"/>
        <v>735000</v>
      </c>
      <c r="G46" s="8">
        <f t="shared" si="2"/>
        <v>0</v>
      </c>
      <c r="H46" s="69">
        <v>735000</v>
      </c>
      <c r="I46" s="70" t="s">
        <v>17</v>
      </c>
      <c r="J46" s="8"/>
      <c r="L46" s="69"/>
      <c r="M46" s="70"/>
    </row>
    <row r="47" spans="2:13">
      <c r="B47" s="8">
        <v>1</v>
      </c>
      <c r="C47" t="s">
        <v>46</v>
      </c>
      <c r="E47" s="8"/>
      <c r="F47" s="8">
        <f t="shared" si="1"/>
        <v>0</v>
      </c>
      <c r="G47" s="8">
        <f t="shared" si="2"/>
        <v>0</v>
      </c>
      <c r="H47" s="69"/>
      <c r="I47" s="70"/>
      <c r="J47" s="8"/>
      <c r="L47" s="69"/>
      <c r="M47" s="70"/>
    </row>
    <row r="48" spans="2:13">
      <c r="B48" s="8">
        <v>1</v>
      </c>
      <c r="C48" t="s">
        <v>44</v>
      </c>
      <c r="E48" s="8">
        <v>129000</v>
      </c>
      <c r="F48" s="8">
        <f>+H48+J48+L48</f>
        <v>129000</v>
      </c>
      <c r="G48" s="8">
        <f t="shared" si="2"/>
        <v>0</v>
      </c>
      <c r="H48" s="69">
        <v>129000</v>
      </c>
      <c r="I48" s="70" t="s">
        <v>16</v>
      </c>
      <c r="J48" s="8"/>
      <c r="L48" s="69"/>
      <c r="M48" s="70"/>
    </row>
    <row r="49" spans="2:27" s="8" customFormat="1">
      <c r="B49" s="8">
        <v>1</v>
      </c>
      <c r="C49" t="s">
        <v>48</v>
      </c>
      <c r="D49" s="2"/>
      <c r="F49" s="8">
        <f t="shared" ref="F49:F53" si="12">+H49+J49+L49</f>
        <v>0</v>
      </c>
      <c r="G49" s="8">
        <f t="shared" si="2"/>
        <v>0</v>
      </c>
      <c r="H49" s="69"/>
      <c r="I49" s="70"/>
      <c r="K49"/>
      <c r="L49" s="69"/>
      <c r="M49" s="70"/>
      <c r="N49"/>
    </row>
    <row r="50" spans="2:27" s="8" customFormat="1">
      <c r="B50" s="8">
        <v>1</v>
      </c>
      <c r="C50" s="23" t="s">
        <v>6</v>
      </c>
      <c r="D50" s="58"/>
      <c r="E50" s="8">
        <v>19950000</v>
      </c>
      <c r="F50" s="8">
        <f t="shared" si="12"/>
        <v>2800000</v>
      </c>
      <c r="G50" s="8">
        <f t="shared" si="2"/>
        <v>17150000</v>
      </c>
      <c r="H50" s="151">
        <v>0</v>
      </c>
      <c r="I50" s="70" t="s">
        <v>17</v>
      </c>
      <c r="J50" s="8">
        <v>2800000</v>
      </c>
      <c r="K50" t="s">
        <v>71</v>
      </c>
      <c r="L50" s="69"/>
      <c r="M50" s="70"/>
      <c r="N50"/>
    </row>
    <row r="51" spans="2:27" s="8" customFormat="1">
      <c r="B51" s="8">
        <v>1</v>
      </c>
      <c r="C51" t="s">
        <v>51</v>
      </c>
      <c r="D51" s="2"/>
      <c r="F51" s="8">
        <f t="shared" si="12"/>
        <v>0</v>
      </c>
      <c r="G51" s="8">
        <f t="shared" si="2"/>
        <v>0</v>
      </c>
      <c r="H51" s="69"/>
      <c r="I51" s="70"/>
      <c r="L51" s="69"/>
      <c r="M51" s="70"/>
    </row>
    <row r="52" spans="2:27" s="8" customFormat="1">
      <c r="B52" s="8">
        <v>1</v>
      </c>
      <c r="C52" t="s">
        <v>99</v>
      </c>
      <c r="D52" s="2"/>
      <c r="F52" s="8">
        <f t="shared" si="12"/>
        <v>0</v>
      </c>
      <c r="G52" s="8">
        <f t="shared" si="2"/>
        <v>0</v>
      </c>
      <c r="H52" s="69"/>
      <c r="I52" s="70"/>
      <c r="L52" s="69"/>
      <c r="M52" s="70"/>
    </row>
    <row r="53" spans="2:27" s="8" customFormat="1">
      <c r="B53" s="8">
        <v>1</v>
      </c>
      <c r="C53" t="s">
        <v>98</v>
      </c>
      <c r="D53" s="2"/>
      <c r="F53" s="8">
        <f t="shared" si="12"/>
        <v>0</v>
      </c>
      <c r="G53" s="8">
        <f t="shared" si="2"/>
        <v>0</v>
      </c>
      <c r="H53" s="69"/>
      <c r="I53" s="70"/>
      <c r="L53" s="69"/>
      <c r="M53" s="70"/>
    </row>
    <row r="54" spans="2:27" s="8" customFormat="1">
      <c r="C54"/>
      <c r="D54" s="2"/>
      <c r="I54"/>
      <c r="J54"/>
      <c r="M54"/>
    </row>
    <row r="55" spans="2:27" s="8" customFormat="1">
      <c r="C55"/>
      <c r="D55" s="2"/>
      <c r="I55"/>
      <c r="J55"/>
      <c r="M55"/>
    </row>
    <row r="56" spans="2:27" s="8" customFormat="1" ht="14.4" thickBot="1">
      <c r="B56" s="170"/>
      <c r="C56" s="171"/>
      <c r="D56" s="172"/>
      <c r="E56" s="170"/>
      <c r="F56" s="170"/>
      <c r="G56" s="170"/>
      <c r="H56" s="170"/>
      <c r="I56" s="171"/>
      <c r="J56" s="171"/>
      <c r="K56" s="170"/>
      <c r="L56" s="170"/>
      <c r="M56" s="171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</row>
    <row r="57" spans="2:27" s="8" customFormat="1" ht="14.4" thickTop="1">
      <c r="C57"/>
      <c r="D57" s="2"/>
      <c r="I57"/>
      <c r="J57"/>
      <c r="M57"/>
    </row>
    <row r="58" spans="2:27" s="8" customFormat="1">
      <c r="C58"/>
      <c r="D58" s="2"/>
      <c r="I58"/>
      <c r="J58"/>
      <c r="M58"/>
    </row>
    <row r="59" spans="2:27" s="8" customFormat="1">
      <c r="C59"/>
      <c r="D59" s="2"/>
      <c r="I59"/>
      <c r="J59"/>
      <c r="M59"/>
    </row>
    <row r="60" spans="2:27" s="8" customFormat="1">
      <c r="C60"/>
      <c r="D60" s="2"/>
      <c r="E60" s="101">
        <f>SUM(E62:E71)</f>
        <v>793000</v>
      </c>
      <c r="F60" s="101">
        <f t="shared" ref="F60:G60" si="13">SUM(F62:F71)</f>
        <v>793000</v>
      </c>
      <c r="G60" s="101">
        <f t="shared" si="13"/>
        <v>0</v>
      </c>
      <c r="I60"/>
      <c r="J60"/>
      <c r="M60"/>
    </row>
    <row r="61" spans="2:27" s="8" customFormat="1" ht="14.4" thickBot="1">
      <c r="C61" s="21" t="s">
        <v>153</v>
      </c>
      <c r="D61" s="57"/>
      <c r="E61" s="73" t="s">
        <v>129</v>
      </c>
      <c r="F61" s="73" t="s">
        <v>148</v>
      </c>
      <c r="G61" s="73" t="s">
        <v>149</v>
      </c>
      <c r="H61" s="74" t="s">
        <v>148</v>
      </c>
      <c r="I61" s="75" t="s">
        <v>150</v>
      </c>
      <c r="J61" s="73" t="s">
        <v>148</v>
      </c>
      <c r="K61" s="73" t="s">
        <v>151</v>
      </c>
      <c r="L61" s="74" t="s">
        <v>148</v>
      </c>
      <c r="M61" s="75" t="s">
        <v>158</v>
      </c>
    </row>
    <row r="62" spans="2:27" s="8" customFormat="1">
      <c r="B62" s="8">
        <v>2</v>
      </c>
      <c r="C62" t="s">
        <v>92</v>
      </c>
      <c r="D62" s="2"/>
      <c r="E62" s="8">
        <v>40000</v>
      </c>
      <c r="F62" s="8">
        <f t="shared" ref="F62:F66" si="14">+H62+J62+L62</f>
        <v>40000</v>
      </c>
      <c r="G62" s="8">
        <f t="shared" ref="G62:G67" si="15">+E62-F62</f>
        <v>0</v>
      </c>
      <c r="H62" s="69">
        <v>40000</v>
      </c>
      <c r="I62" s="70" t="s">
        <v>16</v>
      </c>
      <c r="L62" s="69"/>
      <c r="M62" s="70"/>
    </row>
    <row r="63" spans="2:27" s="8" customFormat="1">
      <c r="B63" s="8">
        <v>2</v>
      </c>
      <c r="C63" t="s">
        <v>241</v>
      </c>
      <c r="D63" s="2"/>
      <c r="E63" s="8">
        <v>24000</v>
      </c>
      <c r="F63" s="8">
        <f t="shared" ref="F63" si="16">+H63+J63+L63</f>
        <v>24000</v>
      </c>
      <c r="G63" s="8">
        <f t="shared" si="15"/>
        <v>0</v>
      </c>
      <c r="H63" s="69">
        <v>24000</v>
      </c>
      <c r="I63" s="70" t="s">
        <v>16</v>
      </c>
      <c r="L63" s="69"/>
      <c r="M63" s="70"/>
    </row>
    <row r="64" spans="2:27" s="8" customFormat="1">
      <c r="B64" s="8">
        <v>2</v>
      </c>
      <c r="C64" t="s">
        <v>121</v>
      </c>
      <c r="D64" s="2"/>
      <c r="E64" s="8">
        <v>19000</v>
      </c>
      <c r="F64" s="8">
        <f t="shared" si="14"/>
        <v>19000</v>
      </c>
      <c r="G64" s="8">
        <f t="shared" si="15"/>
        <v>0</v>
      </c>
      <c r="H64" s="69">
        <v>19000</v>
      </c>
      <c r="I64" s="70" t="s">
        <v>16</v>
      </c>
      <c r="L64" s="69"/>
      <c r="M64" s="70"/>
    </row>
    <row r="65" spans="2:28" s="8" customFormat="1">
      <c r="B65" s="8">
        <v>2</v>
      </c>
      <c r="C65" t="s">
        <v>41</v>
      </c>
      <c r="D65" s="2"/>
      <c r="E65" s="8">
        <v>500000</v>
      </c>
      <c r="F65" s="8">
        <f t="shared" si="14"/>
        <v>500000</v>
      </c>
      <c r="G65" s="8">
        <f t="shared" si="15"/>
        <v>0</v>
      </c>
      <c r="H65" s="69">
        <v>300000</v>
      </c>
      <c r="I65" s="70" t="s">
        <v>16</v>
      </c>
      <c r="J65" s="8">
        <v>200000</v>
      </c>
      <c r="K65" t="s">
        <v>16</v>
      </c>
      <c r="L65" s="69"/>
      <c r="M65" s="70"/>
    </row>
    <row r="66" spans="2:28" s="8" customFormat="1">
      <c r="B66" s="8">
        <v>2</v>
      </c>
      <c r="C66" t="s">
        <v>42</v>
      </c>
      <c r="D66" s="2"/>
      <c r="E66" s="8">
        <v>0</v>
      </c>
      <c r="F66" s="8">
        <f t="shared" si="14"/>
        <v>0</v>
      </c>
      <c r="G66" s="8">
        <f t="shared" si="15"/>
        <v>0</v>
      </c>
      <c r="H66" s="69"/>
      <c r="I66" s="72"/>
      <c r="J66" s="56"/>
      <c r="K66"/>
      <c r="L66" s="69"/>
      <c r="M66" s="70"/>
    </row>
    <row r="67" spans="2:28">
      <c r="B67" s="8">
        <v>2</v>
      </c>
      <c r="C67" t="s">
        <v>33</v>
      </c>
      <c r="E67" s="8">
        <v>210000</v>
      </c>
      <c r="F67" s="8">
        <f>+H67+J67+L67</f>
        <v>210000</v>
      </c>
      <c r="G67" s="8">
        <f t="shared" si="15"/>
        <v>0</v>
      </c>
      <c r="H67" s="69">
        <v>210000</v>
      </c>
      <c r="I67" s="70" t="s">
        <v>16</v>
      </c>
      <c r="L67" s="69"/>
      <c r="M67" s="70"/>
    </row>
    <row r="68" spans="2:28">
      <c r="E68" s="8"/>
      <c r="F68" s="8"/>
      <c r="G68" s="8"/>
      <c r="H68" s="8"/>
    </row>
    <row r="69" spans="2:28">
      <c r="E69" s="8"/>
      <c r="F69" s="8"/>
      <c r="G69" s="8"/>
      <c r="H69" s="8"/>
    </row>
    <row r="70" spans="2:28">
      <c r="E70" s="8"/>
      <c r="F70" s="8"/>
      <c r="G70" s="8"/>
      <c r="H70" s="8"/>
    </row>
    <row r="71" spans="2:28" ht="14.4" thickBot="1">
      <c r="B71" s="170"/>
      <c r="C71" s="171"/>
      <c r="D71" s="172"/>
      <c r="E71" s="170"/>
      <c r="F71" s="170"/>
      <c r="G71" s="170"/>
      <c r="H71" s="170"/>
      <c r="I71" s="171"/>
      <c r="J71" s="171"/>
      <c r="K71" s="170"/>
      <c r="L71" s="170"/>
      <c r="M71" s="171"/>
      <c r="N71" s="170"/>
      <c r="O71" s="170"/>
      <c r="P71" s="170"/>
      <c r="Q71" s="170"/>
      <c r="R71" s="170"/>
      <c r="S71" s="170"/>
      <c r="T71" s="170"/>
      <c r="U71" s="170"/>
      <c r="V71" s="170"/>
      <c r="W71" s="170"/>
      <c r="X71" s="170"/>
      <c r="Y71" s="170"/>
      <c r="Z71" s="170"/>
      <c r="AA71" s="170"/>
      <c r="AB71" s="8"/>
    </row>
    <row r="72" spans="2:28" s="8" customFormat="1" ht="14.4" thickTop="1">
      <c r="C72"/>
      <c r="D72" s="2"/>
      <c r="I72" s="1"/>
      <c r="J72" s="1"/>
      <c r="K72"/>
      <c r="M72"/>
    </row>
    <row r="73" spans="2:28" s="8" customFormat="1">
      <c r="C73"/>
      <c r="D73" s="2"/>
      <c r="I73" s="1"/>
      <c r="J73" s="1"/>
      <c r="K73"/>
      <c r="M73"/>
    </row>
    <row r="74" spans="2:28" s="8" customFormat="1">
      <c r="C74"/>
      <c r="D74" s="2"/>
      <c r="E74" s="101">
        <f>SUM(E76:E86)</f>
        <v>7217000</v>
      </c>
      <c r="F74" s="101">
        <f t="shared" ref="F74:G74" si="17">SUM(F76:F86)</f>
        <v>3187000</v>
      </c>
      <c r="G74" s="101">
        <f t="shared" si="17"/>
        <v>4030000</v>
      </c>
      <c r="I74" s="1"/>
      <c r="J74" s="1"/>
      <c r="K74"/>
      <c r="M74"/>
    </row>
    <row r="75" spans="2:28" s="8" customFormat="1" ht="14.4" thickBot="1">
      <c r="C75" s="21" t="s">
        <v>8</v>
      </c>
      <c r="D75" s="57"/>
      <c r="E75" s="73" t="s">
        <v>129</v>
      </c>
      <c r="F75" s="73" t="s">
        <v>148</v>
      </c>
      <c r="G75" s="73" t="s">
        <v>149</v>
      </c>
      <c r="H75" s="74" t="s">
        <v>148</v>
      </c>
      <c r="I75" s="75" t="s">
        <v>150</v>
      </c>
      <c r="J75" s="74" t="s">
        <v>148</v>
      </c>
      <c r="K75" s="75" t="s">
        <v>151</v>
      </c>
      <c r="L75" s="74" t="s">
        <v>148</v>
      </c>
      <c r="M75" s="75" t="s">
        <v>158</v>
      </c>
    </row>
    <row r="76" spans="2:28" s="8" customFormat="1">
      <c r="B76" s="8">
        <v>3</v>
      </c>
      <c r="C76" t="s">
        <v>38</v>
      </c>
      <c r="D76" s="2"/>
      <c r="E76" s="8">
        <v>3800000</v>
      </c>
      <c r="F76" s="8">
        <f>+H76+J76+L76</f>
        <v>1160000</v>
      </c>
      <c r="G76" s="8">
        <f t="shared" ref="G76:G83" si="18">+E76-F76</f>
        <v>2640000</v>
      </c>
      <c r="H76" s="69">
        <v>900000</v>
      </c>
      <c r="I76" s="70" t="s">
        <v>159</v>
      </c>
      <c r="J76" s="69">
        <v>260000</v>
      </c>
      <c r="K76" s="70" t="s">
        <v>176</v>
      </c>
      <c r="L76" s="69"/>
      <c r="M76" s="70"/>
    </row>
    <row r="77" spans="2:28" s="8" customFormat="1">
      <c r="B77" s="8">
        <v>3</v>
      </c>
      <c r="C77" t="s">
        <v>93</v>
      </c>
      <c r="D77" s="2"/>
      <c r="E77" s="8">
        <v>200000</v>
      </c>
      <c r="F77" s="8">
        <f t="shared" ref="F77:F83" si="19">+H77+J77+L77</f>
        <v>0</v>
      </c>
      <c r="G77" s="8">
        <f t="shared" si="18"/>
        <v>200000</v>
      </c>
      <c r="H77" s="69"/>
      <c r="I77" s="70"/>
      <c r="J77" s="69"/>
      <c r="K77" s="70"/>
      <c r="L77" s="69"/>
      <c r="M77" s="70"/>
    </row>
    <row r="78" spans="2:28" s="8" customFormat="1">
      <c r="B78" s="8">
        <v>3</v>
      </c>
      <c r="C78" t="s">
        <v>40</v>
      </c>
      <c r="D78" s="2"/>
      <c r="E78" s="8">
        <f>290000+377000</f>
        <v>667000</v>
      </c>
      <c r="F78" s="8">
        <f t="shared" si="19"/>
        <v>667000</v>
      </c>
      <c r="G78" s="8">
        <f t="shared" si="18"/>
        <v>0</v>
      </c>
      <c r="H78" s="69">
        <v>188500</v>
      </c>
      <c r="I78" s="70" t="s">
        <v>16</v>
      </c>
      <c r="J78" s="69">
        <v>290000</v>
      </c>
      <c r="K78" s="70" t="s">
        <v>16</v>
      </c>
      <c r="L78" s="69">
        <v>188500</v>
      </c>
      <c r="M78" s="70" t="s">
        <v>16</v>
      </c>
    </row>
    <row r="79" spans="2:28" s="8" customFormat="1">
      <c r="B79" s="8">
        <v>3</v>
      </c>
      <c r="C79" t="s">
        <v>53</v>
      </c>
      <c r="D79" s="2"/>
      <c r="F79" s="8">
        <f t="shared" si="19"/>
        <v>0</v>
      </c>
      <c r="G79" s="8">
        <f t="shared" si="18"/>
        <v>0</v>
      </c>
      <c r="H79" s="69"/>
      <c r="I79" s="70"/>
      <c r="J79" s="69"/>
      <c r="K79" s="71"/>
      <c r="L79" s="69"/>
      <c r="M79" s="71"/>
    </row>
    <row r="80" spans="2:28" s="8" customFormat="1">
      <c r="B80" s="8">
        <v>3</v>
      </c>
      <c r="C80" t="s">
        <v>39</v>
      </c>
      <c r="D80" s="2"/>
      <c r="E80" s="8">
        <v>1950000</v>
      </c>
      <c r="F80" s="8">
        <f t="shared" si="19"/>
        <v>1360000</v>
      </c>
      <c r="G80" s="8">
        <f t="shared" si="18"/>
        <v>590000</v>
      </c>
      <c r="H80" s="69">
        <f>470000+260000+630000</f>
        <v>1360000</v>
      </c>
      <c r="I80" s="70" t="s">
        <v>66</v>
      </c>
      <c r="J80" s="69"/>
      <c r="K80" s="70"/>
      <c r="L80" s="69"/>
      <c r="M80" s="70"/>
    </row>
    <row r="81" spans="2:27" s="8" customFormat="1">
      <c r="B81" s="8">
        <v>3</v>
      </c>
      <c r="C81" t="s">
        <v>54</v>
      </c>
      <c r="D81" s="2"/>
      <c r="F81" s="8">
        <f t="shared" si="19"/>
        <v>0</v>
      </c>
      <c r="G81" s="8">
        <f t="shared" si="18"/>
        <v>0</v>
      </c>
      <c r="H81" s="69"/>
      <c r="I81" s="70"/>
      <c r="J81" s="69"/>
      <c r="K81" s="71"/>
      <c r="L81" s="69"/>
      <c r="M81" s="71"/>
    </row>
    <row r="82" spans="2:27" s="8" customFormat="1">
      <c r="B82" s="8">
        <v>3</v>
      </c>
      <c r="C82" t="s">
        <v>50</v>
      </c>
      <c r="D82" s="2"/>
      <c r="F82" s="8">
        <f t="shared" si="19"/>
        <v>0</v>
      </c>
      <c r="G82" s="8">
        <f t="shared" si="18"/>
        <v>0</v>
      </c>
      <c r="H82" s="69"/>
      <c r="I82" s="70"/>
      <c r="J82" s="69"/>
      <c r="K82" s="71"/>
      <c r="L82" s="69"/>
      <c r="M82" s="71"/>
    </row>
    <row r="83" spans="2:27" s="8" customFormat="1">
      <c r="B83" s="8">
        <v>3</v>
      </c>
      <c r="C83" t="s">
        <v>49</v>
      </c>
      <c r="D83" s="2"/>
      <c r="E83" s="8">
        <v>600000</v>
      </c>
      <c r="F83" s="8">
        <f t="shared" si="19"/>
        <v>0</v>
      </c>
      <c r="G83" s="8">
        <f t="shared" si="18"/>
        <v>600000</v>
      </c>
      <c r="H83" s="69"/>
      <c r="I83" s="70"/>
      <c r="J83" s="69"/>
      <c r="K83" s="70"/>
      <c r="L83" s="69"/>
      <c r="M83" s="70"/>
    </row>
    <row r="84" spans="2:27" s="8" customFormat="1">
      <c r="C84"/>
      <c r="D84" s="2"/>
      <c r="I84"/>
      <c r="K84"/>
      <c r="M84"/>
    </row>
    <row r="85" spans="2:27" s="8" customFormat="1">
      <c r="C85"/>
      <c r="D85" s="2"/>
      <c r="I85"/>
      <c r="K85"/>
      <c r="M85"/>
    </row>
    <row r="86" spans="2:27" s="8" customFormat="1" ht="14.4" thickBot="1">
      <c r="B86" s="170"/>
      <c r="C86" s="171"/>
      <c r="D86" s="172"/>
      <c r="E86" s="170"/>
      <c r="F86" s="170"/>
      <c r="G86" s="170"/>
      <c r="H86" s="170"/>
      <c r="I86" s="171"/>
      <c r="J86" s="171"/>
      <c r="K86" s="170"/>
      <c r="L86" s="170"/>
      <c r="M86" s="171"/>
      <c r="N86" s="170"/>
      <c r="O86" s="170"/>
      <c r="P86" s="170"/>
      <c r="Q86" s="170"/>
      <c r="R86" s="170"/>
      <c r="S86" s="170"/>
      <c r="T86" s="170"/>
      <c r="U86" s="170"/>
      <c r="V86" s="170"/>
      <c r="W86" s="170"/>
      <c r="X86" s="170"/>
      <c r="Y86" s="170"/>
      <c r="Z86" s="170"/>
      <c r="AA86" s="170"/>
    </row>
    <row r="87" spans="2:27" s="8" customFormat="1" ht="14.4" thickTop="1">
      <c r="C87"/>
      <c r="D87" s="2"/>
      <c r="I87"/>
      <c r="K87"/>
      <c r="M87"/>
    </row>
    <row r="88" spans="2:27" s="8" customFormat="1">
      <c r="C88"/>
      <c r="D88" s="2"/>
      <c r="I88"/>
      <c r="K88"/>
      <c r="M88"/>
    </row>
    <row r="89" spans="2:27" s="8" customFormat="1">
      <c r="C89"/>
      <c r="D89" s="2"/>
      <c r="I89"/>
      <c r="K89"/>
      <c r="M89"/>
    </row>
    <row r="90" spans="2:27" s="8" customFormat="1">
      <c r="C90"/>
      <c r="D90" s="2"/>
      <c r="E90" s="101">
        <f>SUM(E92:E101)</f>
        <v>40000</v>
      </c>
      <c r="F90" s="101">
        <f t="shared" ref="F90:G90" si="20">SUM(F92:F101)</f>
        <v>40000</v>
      </c>
      <c r="G90" s="101">
        <f t="shared" si="20"/>
        <v>0</v>
      </c>
      <c r="I90"/>
      <c r="J90"/>
      <c r="K90"/>
      <c r="M90"/>
    </row>
    <row r="91" spans="2:27" s="8" customFormat="1" ht="14.4" thickBot="1">
      <c r="C91" s="21" t="s">
        <v>154</v>
      </c>
      <c r="D91" s="57"/>
      <c r="E91" s="73" t="s">
        <v>129</v>
      </c>
      <c r="F91" s="73" t="s">
        <v>148</v>
      </c>
      <c r="G91" s="73" t="s">
        <v>149</v>
      </c>
      <c r="H91" s="74" t="s">
        <v>148</v>
      </c>
      <c r="I91" s="75" t="s">
        <v>150</v>
      </c>
      <c r="J91" s="73" t="s">
        <v>148</v>
      </c>
      <c r="K91" s="73" t="s">
        <v>151</v>
      </c>
      <c r="L91" s="74" t="s">
        <v>148</v>
      </c>
      <c r="M91" s="75" t="s">
        <v>158</v>
      </c>
    </row>
    <row r="92" spans="2:27" s="8" customFormat="1">
      <c r="B92" s="8">
        <v>4</v>
      </c>
      <c r="C92" t="s">
        <v>47</v>
      </c>
      <c r="D92" s="2"/>
      <c r="F92" s="8">
        <f t="shared" ref="F92:F97" si="21">+H92+J92+L92</f>
        <v>0</v>
      </c>
      <c r="G92" s="8">
        <f t="shared" ref="G92:G97" si="22">+E92-F92</f>
        <v>0</v>
      </c>
      <c r="H92" s="69"/>
      <c r="I92" s="70"/>
      <c r="J92"/>
      <c r="K92"/>
      <c r="L92" s="69"/>
      <c r="M92" s="70"/>
    </row>
    <row r="93" spans="2:27" s="8" customFormat="1">
      <c r="B93" s="8">
        <v>4</v>
      </c>
      <c r="C93" t="s">
        <v>52</v>
      </c>
      <c r="D93" s="2"/>
      <c r="F93" s="8">
        <f t="shared" si="21"/>
        <v>0</v>
      </c>
      <c r="G93" s="8">
        <f t="shared" si="22"/>
        <v>0</v>
      </c>
      <c r="H93" s="69"/>
      <c r="I93" s="70"/>
      <c r="J93"/>
      <c r="L93" s="69"/>
      <c r="M93" s="70"/>
    </row>
    <row r="94" spans="2:27" s="8" customFormat="1">
      <c r="B94" s="8">
        <v>4</v>
      </c>
      <c r="C94" t="s">
        <v>96</v>
      </c>
      <c r="D94" s="2"/>
      <c r="F94" s="8">
        <f t="shared" si="21"/>
        <v>0</v>
      </c>
      <c r="G94" s="8">
        <f t="shared" si="22"/>
        <v>0</v>
      </c>
      <c r="H94" s="69"/>
      <c r="I94" s="70"/>
      <c r="J94"/>
      <c r="L94" s="69"/>
      <c r="M94" s="70"/>
    </row>
    <row r="95" spans="2:27" s="8" customFormat="1">
      <c r="B95" s="8">
        <v>4</v>
      </c>
      <c r="C95" t="s">
        <v>127</v>
      </c>
      <c r="D95" s="2"/>
      <c r="F95" s="8">
        <f t="shared" si="21"/>
        <v>0</v>
      </c>
      <c r="G95" s="8">
        <f t="shared" si="22"/>
        <v>0</v>
      </c>
      <c r="H95" s="69"/>
      <c r="I95" s="70"/>
      <c r="J95"/>
      <c r="L95" s="69"/>
      <c r="M95" s="70"/>
    </row>
    <row r="96" spans="2:27" s="8" customFormat="1">
      <c r="B96" s="8">
        <v>4</v>
      </c>
      <c r="C96" t="s">
        <v>97</v>
      </c>
      <c r="D96" s="2"/>
      <c r="E96" s="8">
        <v>40000</v>
      </c>
      <c r="F96" s="8">
        <f t="shared" si="21"/>
        <v>40000</v>
      </c>
      <c r="G96" s="8">
        <f t="shared" si="22"/>
        <v>0</v>
      </c>
      <c r="H96" s="69">
        <v>40000</v>
      </c>
      <c r="I96" s="70" t="s">
        <v>16</v>
      </c>
      <c r="J96"/>
      <c r="L96" s="69"/>
      <c r="M96" s="70"/>
    </row>
    <row r="97" spans="2:27" s="8" customFormat="1">
      <c r="B97" s="8">
        <v>4</v>
      </c>
      <c r="C97" t="s">
        <v>87</v>
      </c>
      <c r="D97" s="2"/>
      <c r="F97" s="8">
        <f t="shared" si="21"/>
        <v>0</v>
      </c>
      <c r="G97" s="8">
        <f t="shared" si="22"/>
        <v>0</v>
      </c>
      <c r="H97" s="69"/>
      <c r="I97" s="70"/>
      <c r="J97"/>
      <c r="L97" s="69"/>
      <c r="M97" s="70"/>
    </row>
    <row r="98" spans="2:27" s="8" customFormat="1">
      <c r="C98"/>
      <c r="D98" s="2"/>
      <c r="I98"/>
      <c r="J98"/>
      <c r="M98"/>
    </row>
    <row r="99" spans="2:27" s="8" customFormat="1">
      <c r="C99"/>
      <c r="D99" s="2"/>
      <c r="I99"/>
      <c r="J99"/>
      <c r="M99"/>
    </row>
    <row r="100" spans="2:27" s="8" customFormat="1">
      <c r="C100"/>
      <c r="D100" s="2"/>
      <c r="I100"/>
      <c r="J100"/>
      <c r="M100"/>
    </row>
    <row r="101" spans="2:27" s="8" customFormat="1" ht="14.4" thickBot="1">
      <c r="B101" s="170"/>
      <c r="C101" s="171"/>
      <c r="D101" s="172"/>
      <c r="E101" s="170"/>
      <c r="F101" s="170"/>
      <c r="G101" s="170"/>
      <c r="H101" s="170"/>
      <c r="I101" s="171"/>
      <c r="J101" s="171"/>
      <c r="K101" s="170"/>
      <c r="L101" s="170"/>
      <c r="M101" s="171"/>
      <c r="N101" s="170"/>
      <c r="O101" s="170"/>
      <c r="P101" s="170"/>
      <c r="Q101" s="170"/>
      <c r="R101" s="170"/>
      <c r="S101" s="170"/>
      <c r="T101" s="170"/>
      <c r="U101" s="170"/>
      <c r="V101" s="170"/>
      <c r="W101" s="170"/>
      <c r="X101" s="170"/>
      <c r="Y101" s="170"/>
      <c r="Z101" s="170"/>
      <c r="AA101" s="170"/>
    </row>
    <row r="102" spans="2:27" s="8" customFormat="1" ht="14.4" thickTop="1">
      <c r="C102"/>
      <c r="D102" s="2"/>
      <c r="I102"/>
      <c r="J102"/>
      <c r="M102"/>
    </row>
    <row r="103" spans="2:27" s="8" customFormat="1">
      <c r="C103"/>
      <c r="D103" s="2"/>
      <c r="I103"/>
      <c r="J103"/>
      <c r="M103"/>
    </row>
    <row r="104" spans="2:27" s="8" customFormat="1">
      <c r="C104"/>
      <c r="D104" s="2"/>
      <c r="I104"/>
      <c r="J104"/>
      <c r="M104"/>
    </row>
    <row r="105" spans="2:27" s="8" customFormat="1">
      <c r="C105"/>
      <c r="D105" s="2"/>
      <c r="E105" s="101">
        <f>SUM(E107:E111)</f>
        <v>6420960</v>
      </c>
      <c r="F105" s="101">
        <f t="shared" ref="F105:G105" si="23">SUM(F107:F111)</f>
        <v>0</v>
      </c>
      <c r="G105" s="101">
        <f t="shared" si="23"/>
        <v>6420960</v>
      </c>
      <c r="I105"/>
      <c r="J105"/>
      <c r="M105"/>
    </row>
    <row r="106" spans="2:27" s="8" customFormat="1" ht="14.4" thickBot="1">
      <c r="C106"/>
      <c r="D106" s="2"/>
      <c r="E106" s="73" t="s">
        <v>129</v>
      </c>
      <c r="F106" s="73" t="s">
        <v>148</v>
      </c>
      <c r="G106" s="73" t="s">
        <v>149</v>
      </c>
      <c r="H106" s="74" t="s">
        <v>148</v>
      </c>
      <c r="I106" s="75" t="s">
        <v>150</v>
      </c>
      <c r="J106" s="73" t="s">
        <v>148</v>
      </c>
      <c r="K106" s="73" t="s">
        <v>151</v>
      </c>
      <c r="L106" s="74" t="s">
        <v>148</v>
      </c>
      <c r="M106" s="75" t="s">
        <v>158</v>
      </c>
    </row>
    <row r="107" spans="2:27">
      <c r="B107" s="8">
        <v>4680</v>
      </c>
      <c r="C107" t="s">
        <v>45</v>
      </c>
      <c r="D107" s="2">
        <f>+ESCUELITAS!E9</f>
        <v>1372</v>
      </c>
      <c r="E107" s="8">
        <f>+D107*B107</f>
        <v>6420960</v>
      </c>
      <c r="F107" s="8"/>
      <c r="G107" s="8">
        <f>+E107-F107</f>
        <v>6420960</v>
      </c>
      <c r="H107" s="69"/>
      <c r="I107" s="70"/>
      <c r="L107" s="69"/>
      <c r="M107" s="70"/>
    </row>
    <row r="108" spans="2:27" s="8" customFormat="1">
      <c r="C108"/>
      <c r="D108" s="2"/>
      <c r="I108"/>
      <c r="J108"/>
      <c r="M108"/>
    </row>
    <row r="109" spans="2:27" s="8" customFormat="1">
      <c r="C109"/>
      <c r="D109" s="2"/>
      <c r="I109"/>
      <c r="J109"/>
      <c r="M109"/>
    </row>
    <row r="111" spans="2:27" ht="14.4" thickBot="1">
      <c r="B111" s="170"/>
      <c r="C111" s="171"/>
      <c r="D111" s="172"/>
      <c r="E111" s="170"/>
      <c r="F111" s="170"/>
      <c r="G111" s="170"/>
      <c r="H111" s="170"/>
      <c r="I111" s="171"/>
      <c r="J111" s="171"/>
      <c r="K111" s="170"/>
      <c r="L111" s="170"/>
      <c r="M111" s="171"/>
      <c r="N111" s="170"/>
      <c r="O111" s="170"/>
      <c r="P111" s="170"/>
      <c r="Q111" s="170"/>
      <c r="R111" s="170"/>
      <c r="S111" s="170"/>
      <c r="T111" s="170"/>
      <c r="U111" s="170"/>
      <c r="V111" s="170"/>
      <c r="W111" s="170"/>
      <c r="X111" s="170"/>
      <c r="Y111" s="170"/>
      <c r="Z111" s="170"/>
      <c r="AA111" s="170"/>
    </row>
    <row r="112" spans="2:27" s="8" customFormat="1" ht="14.4" thickTop="1">
      <c r="C112"/>
      <c r="D112" s="2"/>
      <c r="I112"/>
      <c r="J112"/>
      <c r="M112"/>
    </row>
    <row r="113" spans="3:13" s="8" customFormat="1">
      <c r="C113"/>
      <c r="D113" s="2"/>
      <c r="I113"/>
      <c r="J113"/>
      <c r="M113"/>
    </row>
    <row r="114" spans="3:13" s="8" customFormat="1">
      <c r="C114"/>
      <c r="D114" s="2"/>
      <c r="E114" s="56"/>
      <c r="F114" s="56"/>
      <c r="G114" s="56"/>
      <c r="H114" s="56"/>
      <c r="I114" s="1"/>
      <c r="J114" s="1"/>
      <c r="M114"/>
    </row>
    <row r="115" spans="3:13" s="8" customFormat="1">
      <c r="C115"/>
      <c r="D115" s="2"/>
      <c r="I115"/>
      <c r="J115"/>
      <c r="M115"/>
    </row>
    <row r="116" spans="3:13" s="8" customFormat="1">
      <c r="C116"/>
      <c r="D116" s="2"/>
      <c r="I116"/>
      <c r="J116"/>
      <c r="M116"/>
    </row>
    <row r="117" spans="3:13" s="8" customFormat="1">
      <c r="C117"/>
      <c r="D117" s="2"/>
      <c r="I117"/>
      <c r="J117"/>
      <c r="M117"/>
    </row>
    <row r="118" spans="3:13" s="8" customFormat="1">
      <c r="C118"/>
      <c r="D118" s="2"/>
      <c r="I118"/>
      <c r="J118"/>
      <c r="M118"/>
    </row>
    <row r="119" spans="3:13" s="8" customFormat="1">
      <c r="C119"/>
      <c r="D119" s="2"/>
      <c r="I119"/>
      <c r="J119"/>
      <c r="M119"/>
    </row>
    <row r="120" spans="3:13" s="8" customFormat="1">
      <c r="C120"/>
      <c r="D120" s="2"/>
      <c r="I120"/>
      <c r="J120"/>
      <c r="M120"/>
    </row>
    <row r="121" spans="3:13" s="8" customFormat="1">
      <c r="C121"/>
      <c r="D121" s="2"/>
      <c r="I121"/>
      <c r="J121"/>
      <c r="M121"/>
    </row>
    <row r="122" spans="3:13" s="8" customFormat="1">
      <c r="C122"/>
      <c r="D122" s="2"/>
      <c r="I122"/>
      <c r="J122"/>
      <c r="M122"/>
    </row>
    <row r="123" spans="3:13" s="8" customFormat="1">
      <c r="C123"/>
      <c r="D123" s="2"/>
      <c r="I123"/>
      <c r="J123"/>
      <c r="M123"/>
    </row>
    <row r="124" spans="3:13" s="8" customFormat="1">
      <c r="C124"/>
      <c r="D124" s="2"/>
      <c r="I124"/>
      <c r="J124"/>
      <c r="M124"/>
    </row>
    <row r="125" spans="3:13" s="8" customFormat="1">
      <c r="C125"/>
      <c r="D125" s="2"/>
      <c r="I125"/>
      <c r="J125"/>
      <c r="M125"/>
    </row>
    <row r="126" spans="3:13" s="8" customFormat="1">
      <c r="C126"/>
      <c r="D126" s="2"/>
      <c r="I126"/>
      <c r="J126"/>
      <c r="M126"/>
    </row>
    <row r="127" spans="3:13" s="8" customFormat="1">
      <c r="C127"/>
      <c r="D127" s="2"/>
      <c r="I127"/>
      <c r="J127"/>
      <c r="M127"/>
    </row>
    <row r="128" spans="3:13" s="8" customFormat="1">
      <c r="C128"/>
      <c r="D128" s="2"/>
      <c r="I128"/>
      <c r="J128"/>
      <c r="M128"/>
    </row>
    <row r="129" spans="3:13" s="8" customFormat="1">
      <c r="C129"/>
      <c r="D129" s="2"/>
      <c r="I129"/>
      <c r="J129"/>
      <c r="M129"/>
    </row>
    <row r="130" spans="3:13" s="8" customFormat="1">
      <c r="C130"/>
      <c r="D130" s="2"/>
      <c r="I130"/>
      <c r="J130"/>
      <c r="M130"/>
    </row>
    <row r="131" spans="3:13" s="8" customFormat="1">
      <c r="C131"/>
      <c r="D131" s="2"/>
      <c r="I131"/>
      <c r="J131"/>
      <c r="M131"/>
    </row>
    <row r="132" spans="3:13" s="8" customFormat="1">
      <c r="C132"/>
      <c r="D132" s="2"/>
      <c r="I132"/>
      <c r="J132"/>
      <c r="M132"/>
    </row>
    <row r="133" spans="3:13" s="8" customFormat="1">
      <c r="C133"/>
      <c r="D133" s="2"/>
      <c r="I133"/>
      <c r="J133"/>
      <c r="M133"/>
    </row>
    <row r="134" spans="3:13" s="8" customFormat="1">
      <c r="C134"/>
      <c r="D134" s="2"/>
      <c r="I134"/>
      <c r="J134"/>
      <c r="M134"/>
    </row>
    <row r="135" spans="3:13" s="8" customFormat="1">
      <c r="C135"/>
      <c r="D135" s="2"/>
      <c r="I135"/>
      <c r="J135"/>
      <c r="M135"/>
    </row>
    <row r="136" spans="3:13" s="8" customFormat="1">
      <c r="C136"/>
      <c r="D136" s="2"/>
      <c r="I136"/>
      <c r="J136"/>
      <c r="M136"/>
    </row>
    <row r="137" spans="3:13" s="8" customFormat="1">
      <c r="C137"/>
      <c r="D137" s="2"/>
      <c r="I137"/>
      <c r="J137"/>
      <c r="M137"/>
    </row>
    <row r="138" spans="3:13" s="8" customFormat="1">
      <c r="C138"/>
      <c r="D138" s="2"/>
      <c r="I138"/>
      <c r="J138"/>
      <c r="M138"/>
    </row>
    <row r="139" spans="3:13" s="8" customFormat="1">
      <c r="C139"/>
      <c r="D139" s="2"/>
      <c r="I139"/>
      <c r="J139"/>
      <c r="M139"/>
    </row>
    <row r="140" spans="3:13" s="8" customFormat="1">
      <c r="C140"/>
      <c r="D140" s="2"/>
      <c r="I140"/>
      <c r="J140"/>
      <c r="M140"/>
    </row>
    <row r="141" spans="3:13" s="8" customFormat="1">
      <c r="C141"/>
      <c r="D141" s="2"/>
      <c r="I141"/>
      <c r="J141"/>
      <c r="M141"/>
    </row>
    <row r="142" spans="3:13" s="8" customFormat="1">
      <c r="C142"/>
      <c r="D142" s="2"/>
      <c r="I142"/>
      <c r="J142"/>
      <c r="M142"/>
    </row>
    <row r="143" spans="3:13" s="8" customFormat="1">
      <c r="C143"/>
      <c r="D143" s="2"/>
      <c r="I143"/>
      <c r="J143"/>
      <c r="M143"/>
    </row>
    <row r="144" spans="3:13" s="8" customFormat="1">
      <c r="C144"/>
      <c r="D144" s="2"/>
      <c r="I144"/>
      <c r="J144"/>
      <c r="M144"/>
    </row>
    <row r="145" spans="3:13" s="8" customFormat="1">
      <c r="C145"/>
      <c r="D145" s="2"/>
      <c r="I145"/>
      <c r="J145"/>
      <c r="M145"/>
    </row>
    <row r="146" spans="3:13" s="8" customFormat="1">
      <c r="C146"/>
      <c r="D146" s="2"/>
      <c r="I146"/>
      <c r="J146"/>
      <c r="M146"/>
    </row>
    <row r="147" spans="3:13" s="8" customFormat="1">
      <c r="C147"/>
      <c r="D147" s="2"/>
      <c r="I147"/>
      <c r="J147"/>
      <c r="M147"/>
    </row>
    <row r="148" spans="3:13" s="8" customFormat="1">
      <c r="C148"/>
      <c r="D148" s="2"/>
      <c r="I148"/>
      <c r="J148"/>
      <c r="M148"/>
    </row>
    <row r="149" spans="3:13" s="8" customFormat="1">
      <c r="C149"/>
      <c r="D149" s="2"/>
      <c r="I149"/>
      <c r="J149"/>
      <c r="M149"/>
    </row>
    <row r="150" spans="3:13" s="8" customFormat="1">
      <c r="C150"/>
      <c r="D150" s="2"/>
      <c r="I150"/>
      <c r="J150"/>
      <c r="M150"/>
    </row>
    <row r="151" spans="3:13" s="8" customFormat="1">
      <c r="C151"/>
      <c r="D151" s="2"/>
      <c r="I151"/>
      <c r="J151"/>
      <c r="M151"/>
    </row>
    <row r="152" spans="3:13" s="8" customFormat="1">
      <c r="C152"/>
      <c r="D152" s="2"/>
      <c r="I152"/>
      <c r="J152"/>
      <c r="M152"/>
    </row>
    <row r="153" spans="3:13" s="8" customFormat="1">
      <c r="C153"/>
      <c r="D153" s="2"/>
      <c r="I153"/>
      <c r="J153"/>
      <c r="M153"/>
    </row>
    <row r="154" spans="3:13" s="8" customFormat="1">
      <c r="C154"/>
      <c r="D154" s="2"/>
      <c r="I154"/>
      <c r="J154"/>
      <c r="M154"/>
    </row>
    <row r="155" spans="3:13" s="8" customFormat="1">
      <c r="C155"/>
      <c r="D155" s="2"/>
      <c r="I155"/>
      <c r="J155"/>
      <c r="M155"/>
    </row>
    <row r="156" spans="3:13" s="8" customFormat="1">
      <c r="C156"/>
      <c r="D156" s="2"/>
      <c r="E156"/>
      <c r="F156"/>
      <c r="G156"/>
      <c r="H156"/>
      <c r="I156"/>
      <c r="J156"/>
      <c r="M156"/>
    </row>
    <row r="157" spans="3:13" s="8" customFormat="1">
      <c r="C157"/>
      <c r="D157" s="2"/>
      <c r="E157"/>
      <c r="F157"/>
      <c r="G157"/>
      <c r="H157"/>
      <c r="I157"/>
      <c r="J157"/>
      <c r="M157"/>
    </row>
    <row r="158" spans="3:13" s="8" customFormat="1">
      <c r="C158"/>
      <c r="D158" s="2"/>
      <c r="E158"/>
      <c r="F158"/>
      <c r="G158"/>
      <c r="H158"/>
      <c r="I158"/>
      <c r="J158"/>
      <c r="M158"/>
    </row>
    <row r="159" spans="3:13" s="8" customFormat="1">
      <c r="C159"/>
      <c r="D159" s="2"/>
      <c r="E159"/>
      <c r="F159"/>
      <c r="G159"/>
      <c r="H159"/>
      <c r="I159"/>
      <c r="J159"/>
      <c r="M159"/>
    </row>
    <row r="160" spans="3:13" s="8" customFormat="1">
      <c r="C160"/>
      <c r="D160" s="2"/>
      <c r="E160"/>
      <c r="F160"/>
      <c r="G160"/>
      <c r="H160"/>
      <c r="I160"/>
      <c r="J160"/>
      <c r="M160"/>
    </row>
    <row r="161" spans="3:14" s="8" customFormat="1">
      <c r="C161"/>
      <c r="D161" s="2"/>
      <c r="E161"/>
      <c r="F161"/>
      <c r="G161"/>
      <c r="H161"/>
      <c r="I161"/>
      <c r="J161"/>
      <c r="M161"/>
    </row>
    <row r="162" spans="3:14">
      <c r="K162" s="8"/>
      <c r="N162" s="8"/>
    </row>
    <row r="163" spans="3:14">
      <c r="K163" s="8"/>
      <c r="N163" s="8"/>
    </row>
  </sheetData>
  <sortState xmlns:xlrd2="http://schemas.microsoft.com/office/spreadsheetml/2017/richdata2" ref="B22:K96">
    <sortCondition ref="B22:B96"/>
    <sortCondition ref="C22:C96"/>
  </sortState>
  <conditionalFormatting sqref="E22:E53 E62:E70">
    <cfRule type="expression" dxfId="13" priority="7">
      <formula>G22&lt;=0</formula>
    </cfRule>
  </conditionalFormatting>
  <conditionalFormatting sqref="E76:E85 E87:E89">
    <cfRule type="expression" dxfId="12" priority="13">
      <formula>G76&lt;=0</formula>
    </cfRule>
  </conditionalFormatting>
  <conditionalFormatting sqref="E92:E99">
    <cfRule type="expression" dxfId="11" priority="4">
      <formula>G92&lt;=0</formula>
    </cfRule>
  </conditionalFormatting>
  <conditionalFormatting sqref="E107">
    <cfRule type="expression" dxfId="10" priority="3">
      <formula>G107&lt;=0</formula>
    </cfRule>
  </conditionalFormatting>
  <conditionalFormatting sqref="G22:G53 G62:G70">
    <cfRule type="cellIs" dxfId="9" priority="8" operator="lessThan">
      <formula>0</formula>
    </cfRule>
    <cfRule type="cellIs" dxfId="8" priority="9" operator="greaterThan">
      <formula>0</formula>
    </cfRule>
  </conditionalFormatting>
  <conditionalFormatting sqref="G76:G85 G87:G89">
    <cfRule type="cellIs" dxfId="7" priority="17" operator="lessThan">
      <formula>0</formula>
    </cfRule>
    <cfRule type="cellIs" dxfId="6" priority="18" operator="greaterThan">
      <formula>0</formula>
    </cfRule>
  </conditionalFormatting>
  <conditionalFormatting sqref="G92:G99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G107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D47CA-E570-4941-BC8B-CDF2CCCB0000}">
  <dimension ref="B1:S119"/>
  <sheetViews>
    <sheetView topLeftCell="C105" zoomScale="115" zoomScaleNormal="115" zoomScaleSheetLayoutView="115" workbookViewId="0">
      <selection activeCell="G116" sqref="G116"/>
    </sheetView>
  </sheetViews>
  <sheetFormatPr baseColWidth="10" defaultRowHeight="13.8"/>
  <cols>
    <col min="1" max="1" width="3.09765625" customWidth="1"/>
    <col min="2" max="2" width="1.3984375" customWidth="1"/>
    <col min="3" max="3" width="1.09765625" customWidth="1"/>
    <col min="4" max="4" width="35.59765625" customWidth="1"/>
    <col min="5" max="5" width="13.8984375" bestFit="1" customWidth="1"/>
    <col min="6" max="6" width="12.8984375" bestFit="1" customWidth="1"/>
    <col min="7" max="7" width="14.59765625" customWidth="1"/>
    <col min="8" max="8" width="14.8984375" customWidth="1"/>
    <col min="9" max="9" width="1.09765625" customWidth="1"/>
    <col min="10" max="10" width="1.296875" customWidth="1"/>
    <col min="13" max="13" width="12.5" customWidth="1"/>
  </cols>
  <sheetData>
    <row r="1" spans="2:10" ht="42" customHeight="1">
      <c r="B1" s="143"/>
      <c r="C1" s="15"/>
      <c r="D1" s="204" t="s">
        <v>198</v>
      </c>
      <c r="E1" s="204"/>
      <c r="F1" s="204"/>
      <c r="G1" s="204"/>
      <c r="H1" s="204"/>
      <c r="I1" s="15"/>
      <c r="J1" s="16"/>
    </row>
    <row r="2" spans="2:10" ht="6" customHeight="1" thickBot="1">
      <c r="B2" s="136"/>
      <c r="C2" s="137"/>
      <c r="D2" s="137"/>
      <c r="E2" s="137"/>
      <c r="F2" s="137"/>
      <c r="G2" s="137"/>
      <c r="H2" s="137"/>
      <c r="I2" s="137"/>
      <c r="J2" s="132"/>
    </row>
    <row r="3" spans="2:10" ht="6" customHeight="1">
      <c r="B3" s="82"/>
      <c r="C3" s="92"/>
      <c r="D3" s="93"/>
      <c r="E3" s="93"/>
      <c r="F3" s="93"/>
      <c r="G3" s="93"/>
      <c r="H3" s="93"/>
      <c r="I3" s="94"/>
      <c r="J3" s="11"/>
    </row>
    <row r="4" spans="2:10" ht="28.2" customHeight="1">
      <c r="B4" s="82"/>
      <c r="C4" s="81"/>
      <c r="D4" s="205" t="s">
        <v>184</v>
      </c>
      <c r="E4" s="205"/>
      <c r="F4" s="205"/>
      <c r="G4" s="205"/>
      <c r="H4" s="205"/>
      <c r="I4" s="70"/>
      <c r="J4" s="11"/>
    </row>
    <row r="5" spans="2:10">
      <c r="B5" s="82"/>
      <c r="C5" s="81"/>
      <c r="I5" s="70"/>
      <c r="J5" s="11"/>
    </row>
    <row r="6" spans="2:10" s="19" customFormat="1" ht="27.6" customHeight="1">
      <c r="B6" s="138"/>
      <c r="C6" s="95"/>
      <c r="D6" s="96" t="s">
        <v>156</v>
      </c>
      <c r="E6" s="27" t="s">
        <v>142</v>
      </c>
      <c r="F6" s="27" t="s">
        <v>179</v>
      </c>
      <c r="G6" s="27" t="s">
        <v>112</v>
      </c>
      <c r="I6" s="97"/>
      <c r="J6" s="139"/>
    </row>
    <row r="7" spans="2:10" s="19" customFormat="1" ht="22.2" customHeight="1">
      <c r="B7" s="138"/>
      <c r="C7" s="95"/>
      <c r="D7" s="145" t="s">
        <v>107</v>
      </c>
      <c r="E7" s="144"/>
      <c r="F7" s="144"/>
      <c r="G7" s="144"/>
      <c r="I7" s="97"/>
      <c r="J7" s="139"/>
    </row>
    <row r="8" spans="2:10">
      <c r="B8" s="82"/>
      <c r="C8" s="81"/>
      <c r="D8" t="s">
        <v>27</v>
      </c>
      <c r="E8" s="147"/>
      <c r="F8">
        <v>5000</v>
      </c>
      <c r="G8" s="8">
        <f>+E8*F8</f>
        <v>0</v>
      </c>
      <c r="I8" s="70"/>
      <c r="J8" s="11"/>
    </row>
    <row r="9" spans="2:10">
      <c r="B9" s="82"/>
      <c r="C9" s="81"/>
      <c r="D9" t="s">
        <v>28</v>
      </c>
      <c r="E9" s="147"/>
      <c r="F9">
        <v>5000</v>
      </c>
      <c r="G9" s="8">
        <f>+E9*F9</f>
        <v>0</v>
      </c>
      <c r="I9" s="70"/>
      <c r="J9" s="11"/>
    </row>
    <row r="10" spans="2:10">
      <c r="B10" s="82"/>
      <c r="C10" s="81"/>
      <c r="G10" s="8"/>
      <c r="I10" s="70"/>
      <c r="J10" s="11"/>
    </row>
    <row r="11" spans="2:10">
      <c r="B11" s="82"/>
      <c r="C11" s="81"/>
      <c r="D11" s="1" t="s">
        <v>108</v>
      </c>
      <c r="G11" s="8"/>
      <c r="I11" s="70"/>
      <c r="J11" s="11"/>
    </row>
    <row r="12" spans="2:10">
      <c r="B12" s="82"/>
      <c r="C12" s="81"/>
      <c r="D12" t="s">
        <v>27</v>
      </c>
      <c r="E12" s="147"/>
      <c r="F12">
        <v>5000</v>
      </c>
      <c r="G12" s="8">
        <f>+E12*F12</f>
        <v>0</v>
      </c>
      <c r="I12" s="70"/>
      <c r="J12" s="11"/>
    </row>
    <row r="13" spans="2:10">
      <c r="B13" s="82"/>
      <c r="C13" s="81"/>
      <c r="D13" t="s">
        <v>28</v>
      </c>
      <c r="E13" s="147"/>
      <c r="F13">
        <v>5000</v>
      </c>
      <c r="G13" s="8">
        <f>+E13*F13</f>
        <v>0</v>
      </c>
      <c r="I13" s="70"/>
      <c r="J13" s="11"/>
    </row>
    <row r="14" spans="2:10">
      <c r="B14" s="82"/>
      <c r="C14" s="81"/>
      <c r="G14" s="8"/>
      <c r="I14" s="70"/>
      <c r="J14" s="11"/>
    </row>
    <row r="15" spans="2:10">
      <c r="B15" s="82"/>
      <c r="C15" s="81"/>
      <c r="G15" s="8"/>
      <c r="I15" s="70"/>
      <c r="J15" s="11"/>
    </row>
    <row r="16" spans="2:10" s="19" customFormat="1" ht="28.2" customHeight="1">
      <c r="B16" s="138"/>
      <c r="C16" s="95"/>
      <c r="D16" s="98" t="s">
        <v>180</v>
      </c>
      <c r="E16" s="99"/>
      <c r="F16" s="99"/>
      <c r="G16" s="100">
        <f>+G8+G9+G12+G13</f>
        <v>0</v>
      </c>
      <c r="I16" s="97"/>
      <c r="J16" s="139"/>
    </row>
    <row r="17" spans="2:10">
      <c r="B17" s="82"/>
      <c r="C17" s="81"/>
      <c r="G17" s="101"/>
      <c r="I17" s="70"/>
      <c r="J17" s="11"/>
    </row>
    <row r="18" spans="2:10">
      <c r="B18" s="82"/>
      <c r="C18" s="81"/>
      <c r="I18" s="70"/>
      <c r="J18" s="11"/>
    </row>
    <row r="19" spans="2:10" s="19" customFormat="1" ht="27.6" customHeight="1">
      <c r="B19" s="138"/>
      <c r="C19" s="95"/>
      <c r="D19" s="96" t="s">
        <v>178</v>
      </c>
      <c r="E19" s="27" t="s">
        <v>142</v>
      </c>
      <c r="F19" s="27" t="s">
        <v>179</v>
      </c>
      <c r="G19" s="27" t="s">
        <v>172</v>
      </c>
      <c r="H19" s="27" t="s">
        <v>112</v>
      </c>
      <c r="I19" s="102"/>
      <c r="J19" s="139"/>
    </row>
    <row r="20" spans="2:10">
      <c r="B20" s="82"/>
      <c r="C20" s="81"/>
      <c r="D20" s="103"/>
      <c r="E20" s="104"/>
      <c r="F20" s="104"/>
      <c r="G20" s="104"/>
      <c r="I20" s="70"/>
      <c r="J20" s="11"/>
    </row>
    <row r="21" spans="2:10">
      <c r="B21" s="82"/>
      <c r="C21" s="81"/>
      <c r="D21" s="121" t="s">
        <v>183</v>
      </c>
      <c r="E21" s="105"/>
      <c r="F21" s="105"/>
      <c r="G21" s="105"/>
      <c r="H21" s="106">
        <f>+G22+G23+G24</f>
        <v>0</v>
      </c>
      <c r="I21" s="71"/>
      <c r="J21" s="11"/>
    </row>
    <row r="22" spans="2:10">
      <c r="B22" s="82"/>
      <c r="C22" s="81"/>
      <c r="D22" s="23" t="s">
        <v>103</v>
      </c>
      <c r="G22" s="146"/>
      <c r="I22" s="70"/>
      <c r="J22" s="11"/>
    </row>
    <row r="23" spans="2:10">
      <c r="B23" s="82"/>
      <c r="C23" s="81"/>
      <c r="D23" s="23" t="s">
        <v>101</v>
      </c>
      <c r="G23" s="146"/>
      <c r="I23" s="70"/>
      <c r="J23" s="11"/>
    </row>
    <row r="24" spans="2:10">
      <c r="B24" s="82"/>
      <c r="C24" s="81"/>
      <c r="D24" s="23" t="s">
        <v>104</v>
      </c>
      <c r="G24" s="146"/>
      <c r="I24" s="70"/>
      <c r="J24" s="11"/>
    </row>
    <row r="25" spans="2:10">
      <c r="B25" s="82"/>
      <c r="C25" s="81"/>
      <c r="G25" s="8"/>
      <c r="I25" s="70"/>
      <c r="J25" s="11"/>
    </row>
    <row r="26" spans="2:10">
      <c r="B26" s="82"/>
      <c r="C26" s="81"/>
      <c r="D26" s="76" t="s">
        <v>19</v>
      </c>
      <c r="E26" s="21"/>
      <c r="F26" s="21"/>
      <c r="G26" s="101"/>
      <c r="H26" s="106">
        <f>+G27</f>
        <v>0</v>
      </c>
      <c r="I26" s="70"/>
      <c r="J26" s="11"/>
    </row>
    <row r="27" spans="2:10">
      <c r="B27" s="82"/>
      <c r="C27" s="81"/>
      <c r="D27" s="19" t="s">
        <v>102</v>
      </c>
      <c r="G27" s="146"/>
      <c r="I27" s="70"/>
      <c r="J27" s="11"/>
    </row>
    <row r="28" spans="2:10">
      <c r="B28" s="82"/>
      <c r="C28" s="81"/>
      <c r="G28" s="8"/>
      <c r="I28" s="70"/>
      <c r="J28" s="11"/>
    </row>
    <row r="29" spans="2:10" s="19" customFormat="1" ht="28.2" customHeight="1">
      <c r="B29" s="138"/>
      <c r="C29" s="95"/>
      <c r="D29" s="98" t="s">
        <v>181</v>
      </c>
      <c r="E29" s="99"/>
      <c r="F29" s="99"/>
      <c r="G29" s="99"/>
      <c r="H29" s="107">
        <f>+H21+H26</f>
        <v>0</v>
      </c>
      <c r="I29" s="97"/>
      <c r="J29" s="139"/>
    </row>
    <row r="30" spans="2:10" s="19" customFormat="1" ht="15.6" customHeight="1">
      <c r="B30" s="138"/>
      <c r="C30" s="95"/>
      <c r="D30" s="76"/>
      <c r="H30" s="76"/>
      <c r="I30" s="97"/>
      <c r="J30" s="139"/>
    </row>
    <row r="31" spans="2:10" s="19" customFormat="1" ht="28.2" customHeight="1">
      <c r="B31" s="138"/>
      <c r="C31" s="95"/>
      <c r="D31" s="98" t="s">
        <v>189</v>
      </c>
      <c r="E31" s="99"/>
      <c r="F31" s="99"/>
      <c r="G31" s="107">
        <f>+G16-H29</f>
        <v>0</v>
      </c>
      <c r="H31" s="76"/>
      <c r="I31" s="108"/>
      <c r="J31" s="139"/>
    </row>
    <row r="32" spans="2:10" s="91" customFormat="1">
      <c r="B32" s="140"/>
      <c r="C32" s="109"/>
      <c r="G32" s="110"/>
      <c r="I32" s="111"/>
      <c r="J32" s="141"/>
    </row>
    <row r="33" spans="2:10" s="91" customFormat="1">
      <c r="B33" s="140"/>
      <c r="C33" s="109"/>
      <c r="D33" s="91" t="s">
        <v>186</v>
      </c>
      <c r="E33" s="122">
        <f>+G31/2</f>
        <v>0</v>
      </c>
      <c r="G33" s="110"/>
      <c r="I33" s="111"/>
      <c r="J33" s="141"/>
    </row>
    <row r="34" spans="2:10">
      <c r="B34" s="82"/>
      <c r="C34" s="81"/>
      <c r="G34" s="8"/>
      <c r="I34" s="70"/>
      <c r="J34" s="11"/>
    </row>
    <row r="35" spans="2:10" ht="31.2" customHeight="1">
      <c r="B35" s="82"/>
      <c r="C35" s="81"/>
      <c r="D35" s="112" t="s">
        <v>188</v>
      </c>
      <c r="E35" s="27" t="s">
        <v>178</v>
      </c>
      <c r="F35" s="27" t="s">
        <v>185</v>
      </c>
      <c r="G35" s="113" t="s">
        <v>187</v>
      </c>
      <c r="H35" s="114"/>
      <c r="I35" s="70"/>
      <c r="J35" s="11"/>
    </row>
    <row r="36" spans="2:10">
      <c r="B36" s="82"/>
      <c r="C36" s="81"/>
      <c r="G36" s="8"/>
      <c r="I36" s="70"/>
      <c r="J36" s="11"/>
    </row>
    <row r="37" spans="2:10">
      <c r="B37" s="82"/>
      <c r="C37" s="81"/>
      <c r="D37" t="s">
        <v>19</v>
      </c>
      <c r="E37" s="115">
        <f>+H26</f>
        <v>0</v>
      </c>
      <c r="F37" s="4">
        <f>+E33</f>
        <v>0</v>
      </c>
      <c r="G37" s="116">
        <f>+E37+F37</f>
        <v>0</v>
      </c>
      <c r="I37" s="70"/>
      <c r="J37" s="11"/>
    </row>
    <row r="38" spans="2:10">
      <c r="B38" s="82"/>
      <c r="C38" s="81"/>
      <c r="D38" t="s">
        <v>183</v>
      </c>
      <c r="E38" s="115">
        <f>+H21</f>
        <v>0</v>
      </c>
      <c r="F38" s="4">
        <f>+F37</f>
        <v>0</v>
      </c>
      <c r="G38" s="116">
        <f>+F38+E38</f>
        <v>0</v>
      </c>
      <c r="I38" s="70"/>
      <c r="J38" s="11"/>
    </row>
    <row r="39" spans="2:10" ht="8.4" customHeight="1" thickBot="1">
      <c r="B39" s="82"/>
      <c r="C39" s="117"/>
      <c r="D39" s="118"/>
      <c r="E39" s="119"/>
      <c r="F39" s="118"/>
      <c r="G39" s="118"/>
      <c r="H39" s="118"/>
      <c r="I39" s="120"/>
      <c r="J39" s="11"/>
    </row>
    <row r="40" spans="2:10" ht="14.4" thickBot="1">
      <c r="B40" s="82"/>
      <c r="E40" s="115"/>
      <c r="J40" s="11"/>
    </row>
    <row r="41" spans="2:10" ht="6.6" customHeight="1">
      <c r="B41" s="82"/>
      <c r="C41" s="92"/>
      <c r="D41" s="93"/>
      <c r="E41" s="124"/>
      <c r="F41" s="93"/>
      <c r="G41" s="93"/>
      <c r="H41" s="93"/>
      <c r="I41" s="94"/>
      <c r="J41" s="11"/>
    </row>
    <row r="42" spans="2:10" ht="28.2">
      <c r="B42" s="82"/>
      <c r="C42" s="81"/>
      <c r="D42" s="205" t="s">
        <v>190</v>
      </c>
      <c r="E42" s="205"/>
      <c r="F42" s="205"/>
      <c r="G42" s="205"/>
      <c r="H42" s="205"/>
      <c r="I42" s="70"/>
      <c r="J42" s="11"/>
    </row>
    <row r="43" spans="2:10">
      <c r="B43" s="82"/>
      <c r="C43" s="81"/>
      <c r="I43" s="70"/>
      <c r="J43" s="11"/>
    </row>
    <row r="44" spans="2:10">
      <c r="B44" s="82"/>
      <c r="C44" s="125"/>
      <c r="D44" s="1"/>
      <c r="H44" s="8"/>
      <c r="I44" s="70"/>
      <c r="J44" s="11"/>
    </row>
    <row r="45" spans="2:10">
      <c r="B45" s="82"/>
      <c r="C45" s="126" t="s">
        <v>166</v>
      </c>
      <c r="D45" s="1"/>
      <c r="E45" t="s">
        <v>142</v>
      </c>
      <c r="H45" s="8" t="s">
        <v>112</v>
      </c>
      <c r="I45" s="70"/>
      <c r="J45" s="11"/>
    </row>
    <row r="46" spans="2:10">
      <c r="B46" s="82"/>
      <c r="C46" s="126"/>
      <c r="D46" s="127" t="s">
        <v>160</v>
      </c>
      <c r="E46" s="128">
        <f>SUM(E47:E49)</f>
        <v>317</v>
      </c>
      <c r="F46" s="116"/>
      <c r="H46" s="173">
        <f>SUM(H47:H50)</f>
        <v>16510000</v>
      </c>
      <c r="I46" s="70"/>
      <c r="J46" s="11"/>
    </row>
    <row r="47" spans="2:10">
      <c r="B47" s="82"/>
      <c r="C47" s="81"/>
      <c r="D47" t="s">
        <v>238</v>
      </c>
      <c r="E47">
        <f>+ESCUELITAS!I9</f>
        <v>217</v>
      </c>
      <c r="F47" s="8"/>
      <c r="H47" s="8">
        <f>+ESCUELITAS!J9</f>
        <v>6510000</v>
      </c>
      <c r="I47" s="70"/>
      <c r="J47" s="11"/>
    </row>
    <row r="48" spans="2:10">
      <c r="B48" s="82"/>
      <c r="C48" s="81"/>
      <c r="D48" s="23" t="s">
        <v>167</v>
      </c>
      <c r="E48">
        <f>+ESCUELITAS!K9</f>
        <v>58</v>
      </c>
      <c r="F48" s="8"/>
      <c r="H48" s="8">
        <f>+ESCUELITAS!L9</f>
        <v>5800000</v>
      </c>
      <c r="I48" s="70"/>
      <c r="J48" s="11"/>
    </row>
    <row r="49" spans="2:10">
      <c r="B49" s="82"/>
      <c r="C49" s="81"/>
      <c r="D49" s="23" t="s">
        <v>161</v>
      </c>
      <c r="E49" s="8">
        <f>+DUPLEX!D8</f>
        <v>42</v>
      </c>
      <c r="F49" s="8"/>
      <c r="H49" s="8">
        <f>+DUPLEX!E8</f>
        <v>4200000</v>
      </c>
      <c r="I49" s="70"/>
      <c r="J49" s="11"/>
    </row>
    <row r="50" spans="2:10">
      <c r="B50" s="82"/>
      <c r="C50" s="81"/>
      <c r="D50" s="23" t="s">
        <v>164</v>
      </c>
      <c r="E50">
        <f>+ESCUELITAS!M9</f>
        <v>0</v>
      </c>
      <c r="F50" s="8"/>
      <c r="H50" s="8">
        <v>0</v>
      </c>
      <c r="I50" s="70"/>
      <c r="J50" s="11"/>
    </row>
    <row r="51" spans="2:10">
      <c r="B51" s="82"/>
      <c r="C51" s="81"/>
      <c r="D51" s="23"/>
      <c r="I51" s="70"/>
      <c r="J51" s="11"/>
    </row>
    <row r="52" spans="2:10">
      <c r="B52" s="82"/>
      <c r="C52" s="81"/>
      <c r="D52" s="127" t="s">
        <v>162</v>
      </c>
      <c r="E52" s="128">
        <f>SUM(E53:E54)</f>
        <v>100</v>
      </c>
      <c r="F52" s="21"/>
      <c r="I52" s="70"/>
      <c r="J52" s="11"/>
    </row>
    <row r="53" spans="2:10">
      <c r="B53" s="82"/>
      <c r="C53" s="81"/>
      <c r="D53" s="23" t="s">
        <v>167</v>
      </c>
      <c r="E53">
        <f>+E48</f>
        <v>58</v>
      </c>
      <c r="I53" s="70"/>
      <c r="J53" s="11"/>
    </row>
    <row r="54" spans="2:10">
      <c r="B54" s="82"/>
      <c r="C54" s="81"/>
      <c r="D54" s="23" t="s">
        <v>161</v>
      </c>
      <c r="E54" s="8">
        <f>+E49</f>
        <v>42</v>
      </c>
      <c r="I54" s="70"/>
      <c r="J54" s="11"/>
    </row>
    <row r="55" spans="2:10">
      <c r="B55" s="82"/>
      <c r="C55" s="81"/>
      <c r="D55" s="23" t="s">
        <v>164</v>
      </c>
      <c r="E55">
        <f>+E50</f>
        <v>0</v>
      </c>
      <c r="I55" s="70"/>
      <c r="J55" s="11"/>
    </row>
    <row r="56" spans="2:10">
      <c r="B56" s="82"/>
      <c r="C56" s="81"/>
      <c r="D56" s="23"/>
      <c r="I56" s="70"/>
      <c r="J56" s="11"/>
    </row>
    <row r="57" spans="2:10">
      <c r="B57" s="82"/>
      <c r="C57" s="81"/>
      <c r="D57" s="127" t="s">
        <v>163</v>
      </c>
      <c r="E57" s="128">
        <f>SUM(E58:E59)</f>
        <v>100</v>
      </c>
      <c r="F57" s="21"/>
      <c r="I57" s="70"/>
      <c r="J57" s="11"/>
    </row>
    <row r="58" spans="2:10">
      <c r="B58" s="82"/>
      <c r="C58" s="81"/>
      <c r="D58" s="23" t="s">
        <v>167</v>
      </c>
      <c r="E58">
        <f>+E53</f>
        <v>58</v>
      </c>
      <c r="I58" s="70"/>
      <c r="J58" s="11"/>
    </row>
    <row r="59" spans="2:10">
      <c r="B59" s="82"/>
      <c r="C59" s="81"/>
      <c r="D59" s="23" t="s">
        <v>161</v>
      </c>
      <c r="E59">
        <f>+E54</f>
        <v>42</v>
      </c>
      <c r="I59" s="70"/>
      <c r="J59" s="11"/>
    </row>
    <row r="60" spans="2:10">
      <c r="B60" s="82"/>
      <c r="C60" s="81"/>
      <c r="D60" s="23" t="s">
        <v>164</v>
      </c>
      <c r="E60">
        <f>+E55</f>
        <v>0</v>
      </c>
      <c r="I60" s="70"/>
      <c r="J60" s="11"/>
    </row>
    <row r="61" spans="2:10">
      <c r="B61" s="82"/>
      <c r="C61" s="81"/>
      <c r="D61" s="23"/>
      <c r="I61" s="70"/>
      <c r="J61" s="11"/>
    </row>
    <row r="62" spans="2:10">
      <c r="B62" s="82"/>
      <c r="C62" s="81"/>
      <c r="D62" s="127" t="s">
        <v>165</v>
      </c>
      <c r="E62" s="128">
        <f>SUM(E63:E65)</f>
        <v>317</v>
      </c>
      <c r="F62" s="21"/>
      <c r="H62" s="200"/>
      <c r="I62" s="70"/>
      <c r="J62" s="11"/>
    </row>
    <row r="63" spans="2:10">
      <c r="B63" s="82"/>
      <c r="C63" s="81"/>
      <c r="D63" t="s">
        <v>238</v>
      </c>
      <c r="E63">
        <f>+E47</f>
        <v>217</v>
      </c>
      <c r="F63" s="8"/>
      <c r="I63" s="70"/>
      <c r="J63" s="11"/>
    </row>
    <row r="64" spans="2:10">
      <c r="B64" s="82"/>
      <c r="C64" s="81"/>
      <c r="D64" s="23" t="s">
        <v>167</v>
      </c>
      <c r="E64">
        <f t="shared" ref="E64:E66" si="0">+E58</f>
        <v>58</v>
      </c>
      <c r="I64" s="70"/>
      <c r="J64" s="11"/>
    </row>
    <row r="65" spans="2:10">
      <c r="B65" s="82"/>
      <c r="C65" s="81"/>
      <c r="D65" s="23" t="s">
        <v>161</v>
      </c>
      <c r="E65">
        <f t="shared" si="0"/>
        <v>42</v>
      </c>
      <c r="F65" s="8"/>
      <c r="I65" s="70"/>
      <c r="J65" s="11"/>
    </row>
    <row r="66" spans="2:10">
      <c r="B66" s="82"/>
      <c r="C66" s="81"/>
      <c r="D66" s="23" t="s">
        <v>164</v>
      </c>
      <c r="E66">
        <f t="shared" si="0"/>
        <v>0</v>
      </c>
      <c r="I66" s="70"/>
      <c r="J66" s="11"/>
    </row>
    <row r="67" spans="2:10">
      <c r="B67" s="82"/>
      <c r="C67" s="81"/>
      <c r="D67" s="23"/>
      <c r="I67" s="70"/>
      <c r="J67" s="11"/>
    </row>
    <row r="68" spans="2:10">
      <c r="B68" s="82"/>
      <c r="C68" s="81"/>
      <c r="D68" s="148" t="s">
        <v>168</v>
      </c>
      <c r="I68" s="70"/>
      <c r="J68" s="11"/>
    </row>
    <row r="69" spans="2:10">
      <c r="B69" s="82"/>
      <c r="C69" s="81"/>
      <c r="D69" s="23" t="s">
        <v>106</v>
      </c>
      <c r="E69">
        <f>+E62+E46</f>
        <v>634</v>
      </c>
      <c r="H69" s="8"/>
      <c r="I69" s="70"/>
      <c r="J69" s="11"/>
    </row>
    <row r="70" spans="2:10">
      <c r="B70" s="82"/>
      <c r="C70" s="81"/>
      <c r="D70" s="23" t="s">
        <v>169</v>
      </c>
      <c r="E70">
        <f>+E57</f>
        <v>100</v>
      </c>
      <c r="H70" s="8"/>
      <c r="I70" s="70"/>
      <c r="J70" s="11"/>
    </row>
    <row r="71" spans="2:10">
      <c r="B71" s="82"/>
      <c r="C71" s="81"/>
      <c r="D71" s="23" t="s">
        <v>170</v>
      </c>
      <c r="E71">
        <f>+E52</f>
        <v>100</v>
      </c>
      <c r="H71" s="8"/>
      <c r="I71" s="70"/>
      <c r="J71" s="11"/>
    </row>
    <row r="72" spans="2:10">
      <c r="B72" s="82"/>
      <c r="C72" s="81"/>
      <c r="D72" s="23"/>
      <c r="I72" s="70"/>
      <c r="J72" s="11"/>
    </row>
    <row r="73" spans="2:10" ht="28.8" customHeight="1">
      <c r="B73" s="82"/>
      <c r="C73" s="81"/>
      <c r="D73" s="123" t="s">
        <v>192</v>
      </c>
      <c r="E73" s="129"/>
      <c r="F73" s="129"/>
      <c r="G73" s="129"/>
      <c r="H73" s="130">
        <f>+H46+H52+H57+H62</f>
        <v>16510000</v>
      </c>
      <c r="I73" s="70"/>
      <c r="J73" s="11"/>
    </row>
    <row r="74" spans="2:10">
      <c r="B74" s="82"/>
      <c r="C74" s="81"/>
      <c r="D74" s="23"/>
      <c r="H74" s="8"/>
      <c r="I74" s="70"/>
      <c r="J74" s="11"/>
    </row>
    <row r="75" spans="2:10">
      <c r="B75" s="82"/>
      <c r="C75" s="81"/>
      <c r="D75" s="23"/>
      <c r="I75" s="70"/>
      <c r="J75" s="11"/>
    </row>
    <row r="76" spans="2:10">
      <c r="B76" s="82"/>
      <c r="C76" s="81"/>
      <c r="D76" s="21" t="s">
        <v>191</v>
      </c>
      <c r="E76" s="21"/>
      <c r="F76" s="116">
        <f>+H73*0.1</f>
        <v>1651000</v>
      </c>
      <c r="I76" s="70"/>
      <c r="J76" s="11"/>
    </row>
    <row r="77" spans="2:10" ht="6.6" customHeight="1" thickBot="1">
      <c r="B77" s="82"/>
      <c r="C77" s="117"/>
      <c r="D77" s="131"/>
      <c r="E77" s="118"/>
      <c r="F77" s="118"/>
      <c r="G77" s="118"/>
      <c r="H77" s="118"/>
      <c r="I77" s="120"/>
      <c r="J77" s="11"/>
    </row>
    <row r="78" spans="2:10" ht="14.4" thickBot="1">
      <c r="B78" s="82"/>
      <c r="D78" s="23"/>
      <c r="J78" s="11"/>
    </row>
    <row r="79" spans="2:10" ht="5.4" customHeight="1">
      <c r="B79" s="82"/>
      <c r="C79" s="92"/>
      <c r="D79" s="133"/>
      <c r="E79" s="93"/>
      <c r="F79" s="93"/>
      <c r="G79" s="93"/>
      <c r="H79" s="93"/>
      <c r="I79" s="94"/>
      <c r="J79" s="11"/>
    </row>
    <row r="80" spans="2:10" s="19" customFormat="1" ht="27.6" customHeight="1">
      <c r="B80" s="138"/>
      <c r="C80" s="95"/>
      <c r="D80" s="205" t="s">
        <v>194</v>
      </c>
      <c r="E80" s="205"/>
      <c r="F80" s="205"/>
      <c r="G80" s="205"/>
      <c r="H80" s="205"/>
      <c r="I80" s="97"/>
      <c r="J80" s="139"/>
    </row>
    <row r="81" spans="2:10">
      <c r="B81" s="82"/>
      <c r="C81" s="81"/>
      <c r="D81" s="17" t="s">
        <v>111</v>
      </c>
      <c r="F81" t="s">
        <v>195</v>
      </c>
      <c r="H81" s="11"/>
      <c r="I81" s="70"/>
      <c r="J81" s="11"/>
    </row>
    <row r="82" spans="2:10">
      <c r="B82" s="82"/>
      <c r="C82" s="81"/>
      <c r="D82" s="10" t="s">
        <v>78</v>
      </c>
      <c r="E82" s="8">
        <v>2600000</v>
      </c>
      <c r="F82" s="8"/>
      <c r="H82" s="11"/>
      <c r="I82" s="70"/>
      <c r="J82" s="11"/>
    </row>
    <row r="83" spans="2:10">
      <c r="B83" s="82"/>
      <c r="C83" s="81"/>
      <c r="D83" s="10" t="s">
        <v>78</v>
      </c>
      <c r="E83" s="8">
        <v>2350000</v>
      </c>
      <c r="H83" s="11"/>
      <c r="I83" s="70"/>
      <c r="J83" s="11"/>
    </row>
    <row r="84" spans="2:10">
      <c r="B84" s="82"/>
      <c r="C84" s="81"/>
      <c r="D84" s="10"/>
      <c r="E84" s="8"/>
      <c r="H84" s="11"/>
      <c r="I84" s="70"/>
      <c r="J84" s="11"/>
    </row>
    <row r="85" spans="2:10">
      <c r="B85" s="82"/>
      <c r="C85" s="81"/>
      <c r="D85" s="10"/>
      <c r="E85" s="8"/>
      <c r="H85" s="11"/>
      <c r="I85" s="70"/>
      <c r="J85" s="11"/>
    </row>
    <row r="86" spans="2:10">
      <c r="B86" s="82"/>
      <c r="C86" s="81"/>
      <c r="D86" s="12"/>
      <c r="E86" s="149"/>
      <c r="F86" s="13"/>
      <c r="G86" s="13"/>
      <c r="H86" s="174">
        <f>SUM(E82:E85)</f>
        <v>4950000</v>
      </c>
      <c r="I86" s="70"/>
      <c r="J86" s="11"/>
    </row>
    <row r="87" spans="2:10">
      <c r="B87" s="82"/>
      <c r="C87" s="81"/>
      <c r="D87" s="1"/>
      <c r="I87" s="70"/>
      <c r="J87" s="11"/>
    </row>
    <row r="88" spans="2:10" ht="28.2" customHeight="1">
      <c r="B88" s="82"/>
      <c r="C88" s="81"/>
      <c r="D88" s="123" t="s">
        <v>193</v>
      </c>
      <c r="E88" s="129"/>
      <c r="F88" s="129"/>
      <c r="G88" s="129"/>
      <c r="H88" s="130">
        <f>SUM(E82:E86)</f>
        <v>4950000</v>
      </c>
      <c r="I88" s="70"/>
      <c r="J88" s="11"/>
    </row>
    <row r="89" spans="2:10" ht="6.6" customHeight="1" thickBot="1">
      <c r="B89" s="82"/>
      <c r="C89" s="117"/>
      <c r="D89" s="118"/>
      <c r="E89" s="118"/>
      <c r="F89" s="118"/>
      <c r="G89" s="118"/>
      <c r="H89" s="118"/>
      <c r="I89" s="120"/>
      <c r="J89" s="11"/>
    </row>
    <row r="90" spans="2:10" ht="14.4" thickBot="1">
      <c r="B90" s="82"/>
      <c r="J90" s="11"/>
    </row>
    <row r="91" spans="2:10" ht="6.6" customHeight="1">
      <c r="B91" s="82"/>
      <c r="C91" s="92"/>
      <c r="D91" s="93"/>
      <c r="E91" s="93"/>
      <c r="F91" s="93"/>
      <c r="G91" s="93"/>
      <c r="H91" s="93"/>
      <c r="I91" s="94"/>
      <c r="J91" s="11"/>
    </row>
    <row r="92" spans="2:10">
      <c r="B92" s="82"/>
      <c r="C92" s="81"/>
      <c r="D92" s="206" t="s">
        <v>196</v>
      </c>
      <c r="E92" s="206"/>
      <c r="F92" s="206"/>
      <c r="G92" s="206"/>
      <c r="H92" s="206"/>
      <c r="I92" s="70"/>
      <c r="J92" s="11"/>
    </row>
    <row r="93" spans="2:10">
      <c r="B93" s="82"/>
      <c r="C93" s="81"/>
      <c r="I93" s="70"/>
      <c r="J93" s="11"/>
    </row>
    <row r="94" spans="2:10">
      <c r="B94" s="82"/>
      <c r="C94" s="81"/>
      <c r="D94" s="21" t="s">
        <v>19</v>
      </c>
      <c r="E94" s="134"/>
      <c r="F94" s="134"/>
      <c r="G94" s="134"/>
      <c r="H94" s="135">
        <f>+H73+G37-F76</f>
        <v>14859000</v>
      </c>
      <c r="I94" s="70"/>
      <c r="J94" s="11"/>
    </row>
    <row r="95" spans="2:10">
      <c r="B95" s="82"/>
      <c r="C95" s="81"/>
      <c r="D95" s="21"/>
      <c r="E95" s="101"/>
      <c r="F95" s="101"/>
      <c r="G95" s="101"/>
      <c r="H95" s="135"/>
      <c r="I95" s="70"/>
      <c r="J95" s="11"/>
    </row>
    <row r="96" spans="2:10">
      <c r="B96" s="82"/>
      <c r="C96" s="81"/>
      <c r="D96" s="21" t="s">
        <v>197</v>
      </c>
      <c r="E96" s="134"/>
      <c r="F96" s="134"/>
      <c r="G96" s="134"/>
      <c r="H96" s="135">
        <f>+H88+F76+G38</f>
        <v>6601000</v>
      </c>
      <c r="I96" s="70"/>
      <c r="J96" s="11"/>
    </row>
    <row r="97" spans="2:10" ht="5.4" customHeight="1" thickBot="1">
      <c r="B97" s="82"/>
      <c r="C97" s="117"/>
      <c r="D97" s="118"/>
      <c r="E97" s="118"/>
      <c r="F97" s="118"/>
      <c r="G97" s="118"/>
      <c r="H97" s="118"/>
      <c r="I97" s="120"/>
      <c r="J97" s="11"/>
    </row>
    <row r="98" spans="2:10">
      <c r="B98" s="142"/>
      <c r="C98" s="13"/>
      <c r="D98" s="13"/>
      <c r="E98" s="13"/>
      <c r="F98" s="13"/>
      <c r="G98" s="13"/>
      <c r="H98" s="13"/>
      <c r="I98" s="13"/>
      <c r="J98" s="14"/>
    </row>
    <row r="114" spans="4:19">
      <c r="E114" t="s">
        <v>172</v>
      </c>
      <c r="F114" t="s">
        <v>226</v>
      </c>
      <c r="G114" t="s">
        <v>222</v>
      </c>
      <c r="L114" s="202" t="s">
        <v>252</v>
      </c>
      <c r="M114" s="202" t="s">
        <v>253</v>
      </c>
      <c r="N114" t="s">
        <v>254</v>
      </c>
      <c r="O114" t="s">
        <v>253</v>
      </c>
      <c r="P114" s="202" t="s">
        <v>255</v>
      </c>
      <c r="Q114" s="202" t="s">
        <v>253</v>
      </c>
      <c r="R114" t="s">
        <v>256</v>
      </c>
      <c r="S114" t="s">
        <v>253</v>
      </c>
    </row>
    <row r="115" spans="4:19">
      <c r="D115" t="s">
        <v>233</v>
      </c>
      <c r="H115" s="199">
        <f>+E116-H116</f>
        <v>4200000</v>
      </c>
      <c r="L115" s="202"/>
      <c r="M115" s="202"/>
      <c r="P115" s="202"/>
      <c r="Q115" s="202"/>
    </row>
    <row r="116" spans="4:19">
      <c r="D116" t="s">
        <v>122</v>
      </c>
      <c r="E116" s="199">
        <f>+H73</f>
        <v>16510000</v>
      </c>
      <c r="F116" s="199">
        <f>+L116+N116+P116+R116</f>
        <v>4950000</v>
      </c>
      <c r="G116" s="199">
        <f>+E116-F116</f>
        <v>11560000</v>
      </c>
      <c r="H116" s="199">
        <f>+E116-H49</f>
        <v>12310000</v>
      </c>
      <c r="L116" s="203">
        <f>+E82+E83</f>
        <v>4950000</v>
      </c>
      <c r="M116" s="202"/>
      <c r="N116" s="8">
        <f>+G82+G83</f>
        <v>0</v>
      </c>
      <c r="P116" s="203">
        <f>+I82+I83</f>
        <v>0</v>
      </c>
      <c r="Q116" s="202"/>
      <c r="R116" s="8">
        <f>+K82+K83</f>
        <v>0</v>
      </c>
    </row>
    <row r="117" spans="4:19">
      <c r="L117" s="202"/>
      <c r="M117" s="202"/>
      <c r="P117" s="202"/>
      <c r="Q117" s="202"/>
    </row>
    <row r="118" spans="4:19">
      <c r="D118" t="s">
        <v>243</v>
      </c>
      <c r="E118" s="4">
        <f>+F76</f>
        <v>1651000</v>
      </c>
      <c r="F118">
        <v>0</v>
      </c>
      <c r="G118" s="4">
        <f>+E118-F118</f>
        <v>1651000</v>
      </c>
      <c r="L118" s="202"/>
      <c r="M118" s="202"/>
      <c r="P118" s="202"/>
      <c r="Q118" s="202"/>
    </row>
    <row r="119" spans="4:19">
      <c r="L119" s="202"/>
      <c r="M119" s="202"/>
      <c r="P119" s="202"/>
      <c r="Q119" s="202"/>
    </row>
  </sheetData>
  <mergeCells count="5">
    <mergeCell ref="D1:H1"/>
    <mergeCell ref="D4:H4"/>
    <mergeCell ref="D42:H42"/>
    <mergeCell ref="D80:H80"/>
    <mergeCell ref="D92:H92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3" orientation="portrait" r:id="rId1"/>
  <rowBreaks count="1" manualBreakCount="1">
    <brk id="40" min="1" max="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963DE-649A-406C-ABA1-C01122495537}">
  <dimension ref="B2:H32"/>
  <sheetViews>
    <sheetView topLeftCell="A4" workbookViewId="0">
      <selection activeCell="G35" sqref="G33:G35"/>
    </sheetView>
  </sheetViews>
  <sheetFormatPr baseColWidth="10" defaultRowHeight="13.8"/>
  <cols>
    <col min="2" max="2" width="22" customWidth="1"/>
    <col min="4" max="4" width="12.3984375" style="8" bestFit="1" customWidth="1"/>
    <col min="5" max="6" width="11.19921875" style="8"/>
    <col min="7" max="7" width="12.3984375" style="8" bestFit="1" customWidth="1"/>
    <col min="8" max="8" width="11.19921875" style="8"/>
  </cols>
  <sheetData>
    <row r="2" spans="2:7">
      <c r="B2" s="1" t="s">
        <v>244</v>
      </c>
    </row>
    <row r="4" spans="2:7">
      <c r="B4" t="s">
        <v>25</v>
      </c>
    </row>
    <row r="5" spans="2:7">
      <c r="B5" t="s">
        <v>225</v>
      </c>
    </row>
    <row r="6" spans="2:7">
      <c r="B6" t="s">
        <v>246</v>
      </c>
    </row>
    <row r="7" spans="2:7">
      <c r="B7" t="s">
        <v>100</v>
      </c>
    </row>
    <row r="8" spans="2:7">
      <c r="B8" t="s">
        <v>106</v>
      </c>
    </row>
    <row r="9" spans="2:7">
      <c r="B9" t="s">
        <v>245</v>
      </c>
    </row>
    <row r="10" spans="2:7">
      <c r="B10" t="s">
        <v>171</v>
      </c>
    </row>
    <row r="12" spans="2:7">
      <c r="B12" s="1" t="s">
        <v>233</v>
      </c>
      <c r="G12" s="56">
        <f>SUM(E14:E17)</f>
        <v>45420960</v>
      </c>
    </row>
    <row r="14" spans="2:7">
      <c r="B14" t="s">
        <v>25</v>
      </c>
      <c r="E14" s="8">
        <f>+'INGRESOS-EGRESOS'!G19+'INGRESOS-EGRESOS'!G60+'INGRESOS-EGRESOS'!G74+'INGRESOS-EGRESOS'!G90</f>
        <v>27440000</v>
      </c>
    </row>
    <row r="15" spans="2:7">
      <c r="B15" t="s">
        <v>247</v>
      </c>
    </row>
    <row r="16" spans="2:7">
      <c r="B16" t="s">
        <v>251</v>
      </c>
      <c r="E16" s="8">
        <f>+'NEGOCIADOS- EL NORTE'!G116</f>
        <v>11560000</v>
      </c>
    </row>
    <row r="17" spans="2:7">
      <c r="B17" t="s">
        <v>45</v>
      </c>
      <c r="E17" s="8">
        <f>+'INGRESOS-EGRESOS'!G105</f>
        <v>6420960</v>
      </c>
    </row>
    <row r="19" spans="2:7">
      <c r="B19" s="1" t="s">
        <v>156</v>
      </c>
      <c r="G19" s="56">
        <f>SUM(D21:D24)</f>
        <v>77980000</v>
      </c>
    </row>
    <row r="21" spans="2:7">
      <c r="B21" t="s">
        <v>25</v>
      </c>
      <c r="D21" s="8">
        <f>+ESCUELITAS!F9-ESCUELITAS!H9</f>
        <v>76780000</v>
      </c>
    </row>
    <row r="22" spans="2:7">
      <c r="B22" t="s">
        <v>225</v>
      </c>
      <c r="D22" s="8">
        <f>+DUPLEX!E34</f>
        <v>1200000</v>
      </c>
    </row>
    <row r="23" spans="2:7">
      <c r="B23" t="s">
        <v>246</v>
      </c>
    </row>
    <row r="24" spans="2:7">
      <c r="B24" t="s">
        <v>100</v>
      </c>
    </row>
    <row r="26" spans="2:7">
      <c r="B26" s="1" t="s">
        <v>178</v>
      </c>
      <c r="G26" s="56">
        <f>SUM(D27:D32)</f>
        <v>67574960</v>
      </c>
    </row>
    <row r="27" spans="2:7">
      <c r="B27" t="s">
        <v>25</v>
      </c>
      <c r="D27" s="8">
        <f>+'INGRESOS-EGRESOS'!E19+'INGRESOS-EGRESOS'!E60+'INGRESOS-EGRESOS'!E74+'INGRESOS-EGRESOS'!E90</f>
        <v>44644000</v>
      </c>
    </row>
    <row r="28" spans="2:7">
      <c r="B28" t="s">
        <v>247</v>
      </c>
      <c r="D28" s="8">
        <v>0</v>
      </c>
    </row>
    <row r="29" spans="2:7">
      <c r="B29" t="s">
        <v>248</v>
      </c>
      <c r="D29" s="8">
        <f>+'NEGOCIADOS- EL NORTE'!H47</f>
        <v>6510000</v>
      </c>
    </row>
    <row r="30" spans="2:7">
      <c r="B30" t="s">
        <v>249</v>
      </c>
      <c r="D30" s="8">
        <f>+'NEGOCIADOS- EL NORTE'!H48</f>
        <v>5800000</v>
      </c>
    </row>
    <row r="31" spans="2:7">
      <c r="B31" t="s">
        <v>250</v>
      </c>
      <c r="D31" s="8">
        <f>+'NEGOCIADOS- EL NORTE'!H49</f>
        <v>4200000</v>
      </c>
    </row>
    <row r="32" spans="2:7">
      <c r="B32" t="s">
        <v>45</v>
      </c>
      <c r="D32" s="8">
        <f>+'INGRESOS-EGRESOS'!E105</f>
        <v>6420960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0F2D-0E2C-4DF9-89D5-0BCB7B84FFF5}">
  <dimension ref="A1:Q38"/>
  <sheetViews>
    <sheetView topLeftCell="A11" workbookViewId="0">
      <selection activeCell="H4" sqref="H4"/>
    </sheetView>
  </sheetViews>
  <sheetFormatPr baseColWidth="10" defaultRowHeight="13.8"/>
  <cols>
    <col min="1" max="1" width="19.3984375" customWidth="1"/>
    <col min="2" max="2" width="11.19921875" style="2"/>
    <col min="3" max="3" width="16" style="2" bestFit="1" customWidth="1"/>
    <col min="4" max="4" width="11.19921875" style="3"/>
    <col min="7" max="7" width="11.3984375" bestFit="1" customWidth="1"/>
  </cols>
  <sheetData>
    <row r="1" spans="1:17">
      <c r="H1" t="s">
        <v>239</v>
      </c>
    </row>
    <row r="2" spans="1:17">
      <c r="H2" t="s">
        <v>240</v>
      </c>
      <c r="I2" t="s">
        <v>15</v>
      </c>
      <c r="J2" t="s">
        <v>113</v>
      </c>
    </row>
    <row r="3" spans="1:17">
      <c r="H3" s="8">
        <f>+E8</f>
        <v>4200000</v>
      </c>
      <c r="I3">
        <v>0</v>
      </c>
      <c r="J3" s="8">
        <f>+H3-I3</f>
        <v>4200000</v>
      </c>
    </row>
    <row r="4" spans="1:17">
      <c r="D4" s="3" t="s">
        <v>10</v>
      </c>
      <c r="E4">
        <v>15000</v>
      </c>
    </row>
    <row r="5" spans="1:17">
      <c r="D5" s="3" t="s">
        <v>105</v>
      </c>
      <c r="E5" s="8">
        <f>+Precios!C7</f>
        <v>100000</v>
      </c>
    </row>
    <row r="8" spans="1:17" s="76" customFormat="1" ht="34.799999999999997" customHeight="1">
      <c r="B8" s="22" t="s">
        <v>168</v>
      </c>
      <c r="C8" s="22"/>
      <c r="D8" s="85">
        <f>SUM(D10:D29)</f>
        <v>42</v>
      </c>
      <c r="E8" s="60">
        <f>SUM(E10:E29)</f>
        <v>4200000</v>
      </c>
      <c r="F8" s="60">
        <f>SUM(F10:F29)</f>
        <v>50000</v>
      </c>
      <c r="G8" s="60">
        <f>SUM(G10:G29)</f>
        <v>4150000</v>
      </c>
    </row>
    <row r="9" spans="1:17" s="19" customFormat="1" ht="55.8" thickBot="1">
      <c r="B9" s="77" t="s">
        <v>171</v>
      </c>
      <c r="C9" s="88" t="s">
        <v>174</v>
      </c>
      <c r="D9" s="80" t="s">
        <v>173</v>
      </c>
      <c r="E9" s="78" t="s">
        <v>172</v>
      </c>
      <c r="F9" s="77" t="s">
        <v>148</v>
      </c>
      <c r="G9" s="77" t="s">
        <v>149</v>
      </c>
      <c r="H9" s="78" t="s">
        <v>148</v>
      </c>
      <c r="I9" s="77" t="s">
        <v>150</v>
      </c>
      <c r="J9" s="83" t="s">
        <v>148</v>
      </c>
      <c r="K9" s="84" t="s">
        <v>151</v>
      </c>
      <c r="L9" s="77" t="s">
        <v>148</v>
      </c>
      <c r="M9" s="79" t="s">
        <v>158</v>
      </c>
      <c r="O9" s="19" t="s">
        <v>16</v>
      </c>
      <c r="P9" s="19" t="s">
        <v>17</v>
      </c>
      <c r="Q9" s="19" t="s">
        <v>45</v>
      </c>
    </row>
    <row r="10" spans="1:17">
      <c r="B10" s="2">
        <v>1</v>
      </c>
      <c r="C10" s="2">
        <v>1</v>
      </c>
      <c r="E10" s="86">
        <v>0</v>
      </c>
      <c r="F10" s="8">
        <f>+H10+J10+L10</f>
        <v>0</v>
      </c>
      <c r="G10" s="8">
        <f>+E10-F10</f>
        <v>0</v>
      </c>
      <c r="H10" s="81"/>
      <c r="J10" s="82"/>
      <c r="K10" s="11"/>
      <c r="M10" s="70"/>
    </row>
    <row r="11" spans="1:17">
      <c r="B11" s="2">
        <v>2</v>
      </c>
      <c r="C11" s="2">
        <v>1</v>
      </c>
      <c r="E11" s="87"/>
      <c r="F11" s="8"/>
      <c r="G11" s="8"/>
      <c r="H11" s="81"/>
      <c r="J11" s="82"/>
      <c r="K11" s="11"/>
      <c r="M11" s="70"/>
      <c r="O11" s="8">
        <f>SUMIFS(H12:H58,I12:I58,O9)+SUMIFS(J12:J58,K12:K58,O9)+SUMIFS(L12:L58,M12:M58,O9)</f>
        <v>50000</v>
      </c>
      <c r="P11" s="8">
        <f>SUMIFS(H12:H58,I12:I58,P9)+SUMIFS(J12:J58,K12:K58,P9)+SUMIFS(L12:L58,M12:M58,P9)</f>
        <v>0</v>
      </c>
      <c r="Q11" s="8">
        <f>SUMIFS(H12:H58,I12:I58,Q9)+SUMIFS(J12:J58,K12:K58,Q9)+SUMIFS(L12:L58,M12:M58,Q9)</f>
        <v>0</v>
      </c>
    </row>
    <row r="12" spans="1:17">
      <c r="B12" s="2">
        <v>3</v>
      </c>
      <c r="C12" s="2">
        <v>1</v>
      </c>
      <c r="E12" s="87"/>
      <c r="F12" s="8"/>
      <c r="G12" s="8"/>
      <c r="H12" s="81"/>
      <c r="J12" s="82"/>
      <c r="K12" s="11"/>
      <c r="M12" s="70"/>
    </row>
    <row r="13" spans="1:17">
      <c r="B13" s="2">
        <v>4</v>
      </c>
      <c r="C13" s="2">
        <v>1</v>
      </c>
      <c r="E13" s="87"/>
      <c r="F13" s="8"/>
      <c r="G13" s="8"/>
      <c r="H13" s="69"/>
      <c r="J13" s="82"/>
      <c r="K13" s="11"/>
      <c r="M13" s="70"/>
    </row>
    <row r="14" spans="1:17">
      <c r="A14" s="9" t="s">
        <v>16</v>
      </c>
      <c r="B14" s="2">
        <v>5</v>
      </c>
      <c r="C14" s="2">
        <v>3</v>
      </c>
      <c r="D14" s="3">
        <v>5</v>
      </c>
      <c r="E14" s="87">
        <f t="shared" ref="E14:E22" si="0">+D14*100000</f>
        <v>500000</v>
      </c>
      <c r="F14" s="8">
        <f t="shared" ref="F14:F22" si="1">+H14+J14+L14</f>
        <v>0</v>
      </c>
      <c r="G14" s="8">
        <f t="shared" ref="G14:G22" si="2">+E14-F14</f>
        <v>500000</v>
      </c>
      <c r="H14" s="69"/>
      <c r="J14" s="82"/>
      <c r="K14" s="11"/>
      <c r="M14" s="70"/>
    </row>
    <row r="15" spans="1:17">
      <c r="A15" t="s">
        <v>201</v>
      </c>
      <c r="B15" s="2">
        <v>6</v>
      </c>
      <c r="C15" s="2">
        <v>3</v>
      </c>
      <c r="D15" s="3">
        <v>5</v>
      </c>
      <c r="E15" s="87">
        <f t="shared" si="0"/>
        <v>500000</v>
      </c>
      <c r="F15" s="8">
        <f t="shared" si="1"/>
        <v>0</v>
      </c>
      <c r="G15" s="8">
        <f t="shared" si="2"/>
        <v>500000</v>
      </c>
      <c r="H15" s="69"/>
      <c r="J15" s="82"/>
      <c r="K15" s="11"/>
      <c r="M15" s="70"/>
    </row>
    <row r="16" spans="1:17">
      <c r="A16" t="s">
        <v>202</v>
      </c>
      <c r="B16" s="2">
        <v>7</v>
      </c>
      <c r="C16" s="2">
        <v>3</v>
      </c>
      <c r="D16" s="3">
        <v>0</v>
      </c>
      <c r="E16" s="87">
        <f t="shared" si="0"/>
        <v>0</v>
      </c>
      <c r="F16" s="8">
        <f t="shared" si="1"/>
        <v>0</v>
      </c>
      <c r="G16" s="8">
        <f t="shared" si="2"/>
        <v>0</v>
      </c>
      <c r="H16" s="69"/>
      <c r="J16" s="82"/>
      <c r="K16" s="11"/>
      <c r="M16" s="70"/>
    </row>
    <row r="17" spans="1:13">
      <c r="A17" t="s">
        <v>203</v>
      </c>
      <c r="B17" s="2">
        <v>8</v>
      </c>
      <c r="C17" s="2">
        <v>3</v>
      </c>
      <c r="D17" s="3">
        <v>0</v>
      </c>
      <c r="E17" s="87">
        <f t="shared" si="0"/>
        <v>0</v>
      </c>
      <c r="F17" s="8">
        <f t="shared" si="1"/>
        <v>0</v>
      </c>
      <c r="G17" s="8">
        <f t="shared" si="2"/>
        <v>0</v>
      </c>
      <c r="H17" s="69"/>
      <c r="J17" s="82"/>
      <c r="K17" s="11"/>
      <c r="M17" s="70"/>
    </row>
    <row r="18" spans="1:13">
      <c r="A18" t="s">
        <v>204</v>
      </c>
      <c r="B18" s="2">
        <v>9</v>
      </c>
      <c r="C18" s="2">
        <v>3</v>
      </c>
      <c r="D18" s="3">
        <v>5</v>
      </c>
      <c r="E18" s="87">
        <f t="shared" si="0"/>
        <v>500000</v>
      </c>
      <c r="F18" s="8">
        <f t="shared" si="1"/>
        <v>0</v>
      </c>
      <c r="G18" s="8">
        <f t="shared" si="2"/>
        <v>500000</v>
      </c>
      <c r="H18" s="69"/>
      <c r="J18" s="82"/>
      <c r="K18" s="11"/>
      <c r="M18" s="70"/>
    </row>
    <row r="19" spans="1:13">
      <c r="A19" t="s">
        <v>205</v>
      </c>
      <c r="B19" s="2">
        <v>10</v>
      </c>
      <c r="C19" s="2">
        <v>3</v>
      </c>
      <c r="D19" s="3">
        <v>0</v>
      </c>
      <c r="E19" s="87">
        <f t="shared" si="0"/>
        <v>0</v>
      </c>
      <c r="F19" s="8">
        <f t="shared" si="1"/>
        <v>0</v>
      </c>
      <c r="G19" s="8">
        <f t="shared" si="2"/>
        <v>0</v>
      </c>
      <c r="H19" s="69"/>
      <c r="J19" s="82"/>
      <c r="K19" s="11"/>
      <c r="M19" s="70"/>
    </row>
    <row r="20" spans="1:13">
      <c r="A20" s="9" t="s">
        <v>206</v>
      </c>
      <c r="B20" s="2">
        <v>11</v>
      </c>
      <c r="C20" s="2">
        <v>3</v>
      </c>
      <c r="D20" s="3">
        <v>4</v>
      </c>
      <c r="E20" s="87">
        <f t="shared" si="0"/>
        <v>400000</v>
      </c>
      <c r="F20" s="8">
        <f t="shared" si="1"/>
        <v>0</v>
      </c>
      <c r="G20" s="8">
        <f t="shared" si="2"/>
        <v>400000</v>
      </c>
      <c r="H20" s="69"/>
      <c r="J20" s="82"/>
      <c r="K20" s="11"/>
      <c r="M20" s="70"/>
    </row>
    <row r="21" spans="1:13">
      <c r="A21" s="9" t="s">
        <v>207</v>
      </c>
      <c r="B21" s="2">
        <v>12</v>
      </c>
      <c r="C21" s="2">
        <v>3</v>
      </c>
      <c r="D21" s="3">
        <v>4</v>
      </c>
      <c r="E21" s="87">
        <f t="shared" si="0"/>
        <v>400000</v>
      </c>
      <c r="F21" s="8">
        <f t="shared" si="1"/>
        <v>0</v>
      </c>
      <c r="G21" s="8">
        <f t="shared" si="2"/>
        <v>400000</v>
      </c>
      <c r="H21" s="69"/>
      <c r="J21" s="82"/>
      <c r="K21" s="11"/>
      <c r="M21" s="70"/>
    </row>
    <row r="22" spans="1:13">
      <c r="A22" t="s">
        <v>208</v>
      </c>
      <c r="B22" s="2">
        <v>13</v>
      </c>
      <c r="C22" s="2">
        <v>3</v>
      </c>
      <c r="D22" s="3">
        <v>4</v>
      </c>
      <c r="E22" s="87">
        <f t="shared" si="0"/>
        <v>400000</v>
      </c>
      <c r="F22" s="8">
        <f t="shared" si="1"/>
        <v>0</v>
      </c>
      <c r="G22" s="8">
        <f t="shared" si="2"/>
        <v>400000</v>
      </c>
      <c r="H22" s="69"/>
      <c r="J22" s="82"/>
      <c r="K22" s="11"/>
      <c r="M22" s="70"/>
    </row>
    <row r="23" spans="1:13">
      <c r="A23" s="9" t="s">
        <v>209</v>
      </c>
      <c r="B23" s="2">
        <v>14</v>
      </c>
      <c r="C23" s="2">
        <v>3</v>
      </c>
      <c r="D23" s="3">
        <v>5</v>
      </c>
      <c r="E23" s="87">
        <f>+D23*100000</f>
        <v>500000</v>
      </c>
      <c r="F23" s="8">
        <f>+H23+J23+L23</f>
        <v>50000</v>
      </c>
      <c r="G23" s="8">
        <f>+E23-F23</f>
        <v>450000</v>
      </c>
      <c r="H23" s="69">
        <v>50000</v>
      </c>
      <c r="I23" t="s">
        <v>16</v>
      </c>
      <c r="J23" s="82"/>
      <c r="K23" s="11"/>
      <c r="M23" s="70"/>
    </row>
    <row r="24" spans="1:13">
      <c r="A24" s="175" t="s">
        <v>227</v>
      </c>
      <c r="B24" s="2">
        <v>15</v>
      </c>
      <c r="C24" s="2">
        <v>3</v>
      </c>
      <c r="D24" s="3">
        <v>5</v>
      </c>
      <c r="E24" s="87">
        <f>+D24*100000</f>
        <v>500000</v>
      </c>
      <c r="F24" s="8">
        <f t="shared" ref="F24:F25" si="3">+H24+J24+L24</f>
        <v>0</v>
      </c>
      <c r="G24" s="8">
        <f t="shared" ref="G24:G25" si="4">+E24-F24</f>
        <v>500000</v>
      </c>
      <c r="H24" s="81"/>
      <c r="J24" s="82"/>
      <c r="K24" s="11"/>
      <c r="M24" s="70"/>
    </row>
    <row r="25" spans="1:13">
      <c r="A25" s="176" t="s">
        <v>228</v>
      </c>
      <c r="B25" s="2">
        <v>16</v>
      </c>
      <c r="C25" s="2">
        <v>3</v>
      </c>
      <c r="D25" s="3">
        <v>5</v>
      </c>
      <c r="E25" s="87">
        <f>+D25*100000</f>
        <v>500000</v>
      </c>
      <c r="F25" s="8">
        <f t="shared" si="3"/>
        <v>0</v>
      </c>
      <c r="G25" s="8">
        <f t="shared" si="4"/>
        <v>500000</v>
      </c>
      <c r="H25" s="81"/>
      <c r="J25" s="82"/>
      <c r="K25" s="11"/>
      <c r="M25" s="70"/>
    </row>
    <row r="26" spans="1:13">
      <c r="B26" s="2">
        <v>17</v>
      </c>
      <c r="E26" s="87"/>
      <c r="F26" s="8"/>
      <c r="G26" s="8"/>
      <c r="H26" s="81"/>
      <c r="J26" s="82"/>
      <c r="K26" s="11"/>
      <c r="M26" s="70"/>
    </row>
    <row r="27" spans="1:13">
      <c r="B27" s="2">
        <v>18</v>
      </c>
      <c r="E27" s="87"/>
      <c r="F27" s="8"/>
      <c r="G27" s="8"/>
      <c r="H27" s="81"/>
      <c r="J27" s="82"/>
      <c r="K27" s="11"/>
      <c r="M27" s="70"/>
    </row>
    <row r="28" spans="1:13">
      <c r="B28" s="2">
        <v>19</v>
      </c>
      <c r="E28" s="87"/>
      <c r="F28" s="8"/>
      <c r="G28" s="8"/>
      <c r="H28" s="81"/>
      <c r="J28" s="82"/>
      <c r="K28" s="11"/>
      <c r="M28" s="70"/>
    </row>
    <row r="29" spans="1:13">
      <c r="B29" s="2">
        <v>20</v>
      </c>
      <c r="E29" s="87"/>
      <c r="F29" s="8"/>
      <c r="G29" s="8"/>
      <c r="H29" s="81"/>
      <c r="J29" s="82"/>
      <c r="K29" s="11"/>
      <c r="M29" s="70"/>
    </row>
    <row r="34" spans="1:13">
      <c r="A34" s="21" t="s">
        <v>225</v>
      </c>
      <c r="E34" s="4">
        <f>SUM(E36:E38)</f>
        <v>1200000</v>
      </c>
      <c r="G34" s="4">
        <f>SUM(G36:G38)</f>
        <v>1200000</v>
      </c>
    </row>
    <row r="35" spans="1:13" ht="14.4" thickBot="1">
      <c r="E35" s="2" t="s">
        <v>172</v>
      </c>
      <c r="F35" s="2" t="s">
        <v>226</v>
      </c>
      <c r="G35" s="2" t="s">
        <v>113</v>
      </c>
      <c r="H35" s="78" t="s">
        <v>148</v>
      </c>
      <c r="I35" s="77" t="s">
        <v>150</v>
      </c>
      <c r="J35" s="83" t="s">
        <v>148</v>
      </c>
      <c r="K35" s="84" t="s">
        <v>151</v>
      </c>
      <c r="L35" s="77" t="s">
        <v>148</v>
      </c>
      <c r="M35" s="79" t="s">
        <v>158</v>
      </c>
    </row>
    <row r="36" spans="1:13">
      <c r="A36" t="s">
        <v>29</v>
      </c>
      <c r="E36" s="8">
        <v>700000</v>
      </c>
      <c r="F36" s="4">
        <v>0</v>
      </c>
      <c r="G36" s="4">
        <f>+E36-F36</f>
        <v>700000</v>
      </c>
      <c r="H36" s="4"/>
      <c r="J36" s="4"/>
      <c r="L36" s="4"/>
    </row>
    <row r="37" spans="1:13">
      <c r="A37" t="s">
        <v>30</v>
      </c>
      <c r="E37" s="8">
        <v>400000</v>
      </c>
      <c r="F37" s="4">
        <f t="shared" ref="F37" si="5">+H37+J37+L37</f>
        <v>0</v>
      </c>
      <c r="G37" s="4">
        <f>+E37-F37</f>
        <v>400000</v>
      </c>
      <c r="H37" s="4"/>
      <c r="J37" s="4"/>
      <c r="L37" s="4"/>
    </row>
    <row r="38" spans="1:13">
      <c r="A38" t="s">
        <v>31</v>
      </c>
      <c r="E38" s="8">
        <v>100000</v>
      </c>
      <c r="F38" s="4">
        <v>0</v>
      </c>
      <c r="G38" s="4">
        <f>+E38-F38</f>
        <v>100000</v>
      </c>
      <c r="H38" s="4"/>
      <c r="J38" s="4"/>
      <c r="L38" s="4"/>
    </row>
  </sheetData>
  <conditionalFormatting sqref="G36:G38">
    <cfRule type="cellIs" dxfId="1" priority="1" operator="greaterThan">
      <formula>0</formula>
    </cfRule>
    <cfRule type="cellIs" dxfId="0" priority="2" operator="less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B58C0-D726-4391-A0D0-C6DECD556176}">
  <dimension ref="B4:C22"/>
  <sheetViews>
    <sheetView workbookViewId="0">
      <selection activeCell="B7" sqref="B7"/>
    </sheetView>
  </sheetViews>
  <sheetFormatPr baseColWidth="10" defaultRowHeight="13.8"/>
  <cols>
    <col min="2" max="2" width="17.19921875" customWidth="1"/>
  </cols>
  <sheetData>
    <row r="4" spans="2:3">
      <c r="B4" s="26" t="s">
        <v>133</v>
      </c>
      <c r="C4" s="27" t="s">
        <v>26</v>
      </c>
    </row>
    <row r="5" spans="2:3">
      <c r="B5" t="s">
        <v>131</v>
      </c>
      <c r="C5" s="8">
        <v>60000</v>
      </c>
    </row>
    <row r="6" spans="2:3">
      <c r="B6" t="s">
        <v>211</v>
      </c>
      <c r="C6" s="8">
        <v>30000</v>
      </c>
    </row>
    <row r="7" spans="2:3">
      <c r="B7" t="s">
        <v>132</v>
      </c>
      <c r="C7" s="8">
        <v>100000</v>
      </c>
    </row>
    <row r="8" spans="2:3">
      <c r="B8" t="s">
        <v>134</v>
      </c>
      <c r="C8" s="8">
        <v>17000</v>
      </c>
    </row>
    <row r="9" spans="2:3">
      <c r="B9" t="s">
        <v>135</v>
      </c>
      <c r="C9" s="8">
        <v>5000</v>
      </c>
    </row>
    <row r="10" spans="2:3">
      <c r="B10" t="s">
        <v>136</v>
      </c>
      <c r="C10" s="8">
        <v>5000</v>
      </c>
    </row>
    <row r="11" spans="2:3">
      <c r="B11" t="s">
        <v>29</v>
      </c>
      <c r="C11" s="8">
        <v>700000</v>
      </c>
    </row>
    <row r="12" spans="2:3">
      <c r="B12" t="s">
        <v>30</v>
      </c>
      <c r="C12" s="8">
        <v>400000</v>
      </c>
    </row>
    <row r="13" spans="2:3">
      <c r="B13" t="s">
        <v>31</v>
      </c>
      <c r="C13" s="8">
        <v>100000</v>
      </c>
    </row>
    <row r="14" spans="2:3">
      <c r="C14" s="8"/>
    </row>
    <row r="15" spans="2:3">
      <c r="C15" s="8"/>
    </row>
    <row r="16" spans="2:3">
      <c r="C16" s="8"/>
    </row>
    <row r="17" spans="3:3">
      <c r="C17" s="8"/>
    </row>
    <row r="18" spans="3:3">
      <c r="C18" s="8"/>
    </row>
    <row r="19" spans="3:3">
      <c r="C19" s="8"/>
    </row>
    <row r="20" spans="3:3">
      <c r="C20" s="8"/>
    </row>
    <row r="21" spans="3:3">
      <c r="C21" s="8"/>
    </row>
    <row r="22" spans="3:3">
      <c r="C22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83A04-846A-4BEC-8AE5-BE027106A818}">
  <dimension ref="A2:O28"/>
  <sheetViews>
    <sheetView workbookViewId="0">
      <selection activeCell="E10" sqref="E10"/>
    </sheetView>
  </sheetViews>
  <sheetFormatPr baseColWidth="10" defaultRowHeight="13.8"/>
  <cols>
    <col min="1" max="3" width="11.59765625" style="3" customWidth="1"/>
    <col min="5" max="5" width="19.59765625" bestFit="1" customWidth="1"/>
    <col min="7" max="7" width="11.3984375" customWidth="1"/>
    <col min="12" max="12" width="12.59765625" customWidth="1"/>
  </cols>
  <sheetData>
    <row r="2" spans="1:9">
      <c r="A2" s="212" t="s">
        <v>8</v>
      </c>
      <c r="B2" s="212"/>
      <c r="C2" s="212"/>
    </row>
    <row r="3" spans="1:9">
      <c r="A3" s="3" t="s">
        <v>9</v>
      </c>
      <c r="B3" s="3" t="s">
        <v>10</v>
      </c>
      <c r="C3" s="3" t="s">
        <v>11</v>
      </c>
      <c r="D3">
        <v>100</v>
      </c>
      <c r="E3" t="s">
        <v>0</v>
      </c>
      <c r="F3" t="s">
        <v>2</v>
      </c>
      <c r="G3" t="s">
        <v>3</v>
      </c>
      <c r="H3" t="s">
        <v>4</v>
      </c>
    </row>
    <row r="5" spans="1:9">
      <c r="E5" t="s">
        <v>1</v>
      </c>
      <c r="F5">
        <v>100</v>
      </c>
      <c r="G5">
        <v>1000</v>
      </c>
      <c r="H5" s="4">
        <f>+F5*G5</f>
        <v>100000</v>
      </c>
    </row>
    <row r="6" spans="1:9">
      <c r="B6" s="3">
        <v>2</v>
      </c>
      <c r="D6">
        <v>2</v>
      </c>
      <c r="E6" t="s">
        <v>157</v>
      </c>
      <c r="F6">
        <v>40</v>
      </c>
      <c r="G6">
        <v>2000</v>
      </c>
      <c r="H6" s="4">
        <f t="shared" ref="H6:H7" si="0">+F6*G6</f>
        <v>80000</v>
      </c>
    </row>
    <row r="7" spans="1:9">
      <c r="A7" s="3">
        <v>1</v>
      </c>
      <c r="B7" s="3">
        <v>2</v>
      </c>
      <c r="C7" s="3">
        <v>1</v>
      </c>
      <c r="D7">
        <v>2</v>
      </c>
      <c r="E7" t="s">
        <v>5</v>
      </c>
      <c r="F7">
        <v>20</v>
      </c>
      <c r="G7">
        <v>5000</v>
      </c>
      <c r="H7" s="4">
        <f t="shared" si="0"/>
        <v>100000</v>
      </c>
    </row>
    <row r="8" spans="1:9">
      <c r="E8" s="5" t="s">
        <v>90</v>
      </c>
      <c r="F8" s="5">
        <f>SUM(F5:F7)</f>
        <v>160</v>
      </c>
      <c r="G8" s="5"/>
      <c r="H8" s="6">
        <f>SUM(H5:H7)</f>
        <v>280000</v>
      </c>
      <c r="I8" s="1"/>
    </row>
    <row r="10" spans="1:9">
      <c r="E10" s="9" t="s">
        <v>89</v>
      </c>
      <c r="F10" s="9">
        <v>25</v>
      </c>
      <c r="G10" s="9">
        <v>17000</v>
      </c>
      <c r="H10" s="6">
        <f>+F10*G10</f>
        <v>425000</v>
      </c>
    </row>
    <row r="12" spans="1:9">
      <c r="E12" s="5" t="s">
        <v>91</v>
      </c>
      <c r="F12" s="5"/>
      <c r="G12" s="5"/>
      <c r="H12" s="6">
        <f>+H10+H8</f>
        <v>705000</v>
      </c>
    </row>
    <row r="14" spans="1:9">
      <c r="E14" t="s">
        <v>6</v>
      </c>
    </row>
    <row r="15" spans="1:9">
      <c r="E15" t="s">
        <v>1</v>
      </c>
      <c r="F15">
        <v>100</v>
      </c>
    </row>
    <row r="16" spans="1:9">
      <c r="E16" t="s">
        <v>7</v>
      </c>
      <c r="F16">
        <v>3</v>
      </c>
    </row>
    <row r="17" spans="2:15">
      <c r="E17" t="s">
        <v>88</v>
      </c>
      <c r="F17">
        <v>3</v>
      </c>
    </row>
    <row r="19" spans="2:15">
      <c r="N19" s="2"/>
      <c r="O19" s="2"/>
    </row>
    <row r="20" spans="2:15">
      <c r="E20" s="1" t="s">
        <v>12</v>
      </c>
      <c r="F20" s="3" t="s">
        <v>13</v>
      </c>
      <c r="G20" s="3" t="s">
        <v>24</v>
      </c>
      <c r="H20" s="3" t="s">
        <v>14</v>
      </c>
    </row>
    <row r="21" spans="2:15">
      <c r="B21"/>
      <c r="E21" s="7" t="s">
        <v>16</v>
      </c>
      <c r="F21">
        <v>5000</v>
      </c>
    </row>
    <row r="22" spans="2:15">
      <c r="B22"/>
      <c r="E22" s="7" t="s">
        <v>17</v>
      </c>
      <c r="F22">
        <v>200</v>
      </c>
    </row>
    <row r="23" spans="2:15">
      <c r="B23"/>
      <c r="E23" s="7" t="s">
        <v>18</v>
      </c>
    </row>
    <row r="24" spans="2:15">
      <c r="B24"/>
      <c r="E24" s="7" t="s">
        <v>19</v>
      </c>
    </row>
    <row r="25" spans="2:15">
      <c r="E25" s="7" t="s">
        <v>20</v>
      </c>
      <c r="F25">
        <v>5000</v>
      </c>
    </row>
    <row r="26" spans="2:15">
      <c r="E26" s="7" t="s">
        <v>21</v>
      </c>
    </row>
    <row r="27" spans="2:15">
      <c r="E27" s="7" t="s">
        <v>22</v>
      </c>
      <c r="F27">
        <v>6000</v>
      </c>
    </row>
    <row r="28" spans="2:15">
      <c r="E28" s="7" t="s">
        <v>23</v>
      </c>
    </row>
  </sheetData>
  <mergeCells count="1">
    <mergeCell ref="A2:C2"/>
  </mergeCells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2962C-F16B-4237-991E-24E7BA0F0516}">
  <dimension ref="A1"/>
  <sheetViews>
    <sheetView workbookViewId="0"/>
  </sheetViews>
  <sheetFormatPr baseColWidth="10" defaultRowHeight="13.8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86A5C-F164-46CB-A573-6A1253400527}">
  <dimension ref="A2:E6"/>
  <sheetViews>
    <sheetView workbookViewId="0">
      <selection activeCell="B3" sqref="B3"/>
    </sheetView>
  </sheetViews>
  <sheetFormatPr baseColWidth="10" defaultRowHeight="13.8"/>
  <cols>
    <col min="4" max="4" width="12.19921875" customWidth="1"/>
    <col min="5" max="5" width="14.59765625" bestFit="1" customWidth="1"/>
  </cols>
  <sheetData>
    <row r="2" spans="1:5">
      <c r="B2" s="3" t="s">
        <v>25</v>
      </c>
      <c r="C2" s="3" t="s">
        <v>100</v>
      </c>
      <c r="D2" s="3" t="s">
        <v>123</v>
      </c>
      <c r="E2" s="3" t="s">
        <v>122</v>
      </c>
    </row>
    <row r="3" spans="1:5">
      <c r="A3" t="s">
        <v>156</v>
      </c>
    </row>
    <row r="4" spans="1:5">
      <c r="A4" t="s">
        <v>199</v>
      </c>
    </row>
    <row r="6" spans="1:5">
      <c r="A6" t="s">
        <v>168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290A6-41D9-4B5E-A9F2-65750A3120D0}">
  <dimension ref="C1:Q47"/>
  <sheetViews>
    <sheetView topLeftCell="C16" zoomScale="85" zoomScaleNormal="85" workbookViewId="0">
      <selection activeCell="N13" sqref="N13"/>
    </sheetView>
  </sheetViews>
  <sheetFormatPr baseColWidth="10" defaultRowHeight="13.8"/>
  <cols>
    <col min="3" max="3" width="9.8984375" customWidth="1"/>
    <col min="4" max="4" width="20.69921875" customWidth="1"/>
    <col min="6" max="7" width="15.5" style="3" customWidth="1"/>
    <col min="12" max="12" width="24.8984375" customWidth="1"/>
    <col min="13" max="13" width="4.296875" customWidth="1"/>
    <col min="14" max="15" width="14.8984375" style="3" customWidth="1"/>
    <col min="16" max="16" width="16.8984375" customWidth="1"/>
    <col min="17" max="17" width="14.59765625" bestFit="1" customWidth="1"/>
  </cols>
  <sheetData>
    <row r="1" spans="3:17">
      <c r="N1" s="213">
        <f>+N2-O2</f>
        <v>12620000</v>
      </c>
      <c r="O1" s="212"/>
    </row>
    <row r="2" spans="3:17">
      <c r="N2" s="4">
        <f>+N4+N9+N15+N29+N35</f>
        <v>146795960</v>
      </c>
      <c r="O2" s="4">
        <f>+O4+O9+O15+O29+O35</f>
        <v>134175960</v>
      </c>
    </row>
    <row r="3" spans="3:17">
      <c r="F3" s="158" t="s">
        <v>223</v>
      </c>
      <c r="G3" s="159" t="s">
        <v>224</v>
      </c>
      <c r="N3" s="158" t="s">
        <v>223</v>
      </c>
      <c r="O3" s="159" t="s">
        <v>224</v>
      </c>
      <c r="P3" s="196" t="s">
        <v>113</v>
      </c>
    </row>
    <row r="4" spans="3:17">
      <c r="C4" s="21" t="s">
        <v>220</v>
      </c>
      <c r="F4" s="160"/>
      <c r="G4" s="161"/>
      <c r="K4" s="183" t="s">
        <v>220</v>
      </c>
      <c r="L4" s="184"/>
      <c r="M4" s="188"/>
      <c r="N4" s="194">
        <f>SUM(N5:N7)</f>
        <v>32400000</v>
      </c>
      <c r="O4" s="195">
        <f>SUM(O5:O7)</f>
        <v>4484000</v>
      </c>
      <c r="P4" s="184">
        <f>+N4-O4</f>
        <v>27916000</v>
      </c>
    </row>
    <row r="5" spans="3:17">
      <c r="D5" t="s">
        <v>16</v>
      </c>
      <c r="F5" s="160">
        <f>+DIVIDENDOS!E4</f>
        <v>14421000</v>
      </c>
      <c r="G5" s="161"/>
      <c r="L5" t="s">
        <v>16</v>
      </c>
      <c r="N5" s="160">
        <f>+DIVIDENDOS!C4</f>
        <v>17270000</v>
      </c>
      <c r="O5" s="161">
        <f>+DIVIDENDOS!D4</f>
        <v>2849000</v>
      </c>
    </row>
    <row r="6" spans="3:17">
      <c r="D6" t="s">
        <v>17</v>
      </c>
      <c r="F6" s="160">
        <f>+DIVIDENDOS!E9</f>
        <v>10175000</v>
      </c>
      <c r="G6" s="161"/>
      <c r="L6" t="s">
        <v>17</v>
      </c>
      <c r="N6" s="160">
        <f>+DIVIDENDOS!C9</f>
        <v>11810000</v>
      </c>
      <c r="O6" s="161">
        <f>+DIVIDENDOS!D9</f>
        <v>1635000</v>
      </c>
    </row>
    <row r="7" spans="3:17">
      <c r="D7" t="s">
        <v>45</v>
      </c>
      <c r="F7" s="160">
        <f>+DIVIDENDOS!E16</f>
        <v>3320000</v>
      </c>
      <c r="G7" s="161"/>
      <c r="L7" t="s">
        <v>45</v>
      </c>
      <c r="N7" s="160">
        <f>+DIVIDENDOS!C16</f>
        <v>3320000</v>
      </c>
      <c r="O7" s="161">
        <f>+DIVIDENDOS!D16</f>
        <v>0</v>
      </c>
    </row>
    <row r="8" spans="3:17">
      <c r="F8" s="160"/>
      <c r="G8" s="161"/>
      <c r="N8" s="160"/>
      <c r="O8" s="161"/>
    </row>
    <row r="9" spans="3:17">
      <c r="C9" s="21" t="s">
        <v>221</v>
      </c>
      <c r="F9" s="160"/>
      <c r="G9" s="161"/>
      <c r="K9" s="183" t="s">
        <v>221</v>
      </c>
      <c r="L9" s="184"/>
      <c r="M9" s="188"/>
      <c r="N9" s="194">
        <f>SUM(N10:N12)</f>
        <v>42181000</v>
      </c>
      <c r="O9" s="195">
        <f>SUM(O10:O12)</f>
        <v>0</v>
      </c>
      <c r="P9" s="198">
        <f>+N9-O9</f>
        <v>42181000</v>
      </c>
    </row>
    <row r="10" spans="3:17">
      <c r="D10" t="s">
        <v>25</v>
      </c>
      <c r="F10" s="160">
        <f>+ESCUELITAS!P9</f>
        <v>39330000</v>
      </c>
      <c r="G10" s="161"/>
      <c r="L10" t="s">
        <v>25</v>
      </c>
      <c r="N10" s="160">
        <f>+ESCUELITAS!P9</f>
        <v>39330000</v>
      </c>
      <c r="O10" s="161"/>
    </row>
    <row r="11" spans="3:17">
      <c r="D11" t="s">
        <v>225</v>
      </c>
      <c r="F11" s="160">
        <f>+DUPLEX!G34</f>
        <v>1200000</v>
      </c>
      <c r="G11" s="161"/>
      <c r="L11" t="s">
        <v>225</v>
      </c>
      <c r="N11" s="160">
        <f>+DUPLEX!G34</f>
        <v>1200000</v>
      </c>
      <c r="O11" s="161"/>
      <c r="Q11" s="199"/>
    </row>
    <row r="12" spans="3:17">
      <c r="D12" t="s">
        <v>19</v>
      </c>
      <c r="F12" s="160">
        <f>+'NEGOCIADOS- EL NORTE'!H86</f>
        <v>4950000</v>
      </c>
      <c r="G12" s="161"/>
      <c r="L12" t="s">
        <v>242</v>
      </c>
      <c r="N12" s="160">
        <f>+'NEGOCIADOS- EL NORTE'!G118</f>
        <v>1651000</v>
      </c>
      <c r="O12" s="161"/>
    </row>
    <row r="13" spans="3:17">
      <c r="F13" s="160"/>
      <c r="G13" s="161"/>
      <c r="N13" s="160"/>
      <c r="O13" s="161"/>
    </row>
    <row r="14" spans="3:17">
      <c r="F14" s="160"/>
      <c r="G14" s="161"/>
      <c r="N14" s="160"/>
      <c r="O14" s="161"/>
    </row>
    <row r="15" spans="3:17">
      <c r="C15" s="21" t="s">
        <v>222</v>
      </c>
      <c r="F15" s="160"/>
      <c r="G15" s="161"/>
      <c r="K15" s="185" t="s">
        <v>222</v>
      </c>
      <c r="L15" s="187"/>
      <c r="M15" s="186"/>
      <c r="N15" s="192">
        <f>SUM(N16:N23)</f>
        <v>0</v>
      </c>
      <c r="O15" s="193">
        <f>SUM(O16:O23)</f>
        <v>49620960</v>
      </c>
      <c r="P15" s="187">
        <f>+O15-N15</f>
        <v>49620960</v>
      </c>
    </row>
    <row r="16" spans="3:17">
      <c r="C16" s="21"/>
      <c r="D16" t="s">
        <v>25</v>
      </c>
      <c r="F16" s="160"/>
      <c r="G16" s="161">
        <f>+'INGRESOS-EGRESOS'!G19</f>
        <v>23410000</v>
      </c>
      <c r="K16" s="21"/>
      <c r="L16" t="s">
        <v>25</v>
      </c>
      <c r="N16" s="160"/>
      <c r="O16" s="161">
        <f>+'INGRESOS-EGRESOS'!G19</f>
        <v>23410000</v>
      </c>
    </row>
    <row r="17" spans="3:17">
      <c r="C17" s="21"/>
      <c r="D17" t="s">
        <v>8</v>
      </c>
      <c r="F17" s="160"/>
      <c r="G17" s="161">
        <f>+'INGRESOS-EGRESOS'!G74</f>
        <v>4030000</v>
      </c>
      <c r="K17" s="21"/>
      <c r="L17" t="s">
        <v>8</v>
      </c>
      <c r="N17" s="160"/>
      <c r="O17" s="161">
        <f>+'INGRESOS-EGRESOS'!G74</f>
        <v>4030000</v>
      </c>
    </row>
    <row r="18" spans="3:17">
      <c r="C18" s="21"/>
      <c r="D18" t="s">
        <v>153</v>
      </c>
      <c r="F18" s="160"/>
      <c r="G18" s="161">
        <f>+'INGRESOS-EGRESOS'!G60</f>
        <v>0</v>
      </c>
      <c r="K18" s="21"/>
      <c r="L18" t="s">
        <v>153</v>
      </c>
      <c r="N18" s="160"/>
      <c r="O18" s="161">
        <f>+'INGRESOS-EGRESOS'!G60</f>
        <v>0</v>
      </c>
    </row>
    <row r="19" spans="3:17">
      <c r="D19" t="s">
        <v>154</v>
      </c>
      <c r="F19" s="160"/>
      <c r="G19" s="161">
        <f>+'INGRESOS-EGRESOS'!G90</f>
        <v>0</v>
      </c>
      <c r="L19" t="s">
        <v>154</v>
      </c>
      <c r="N19" s="160"/>
      <c r="O19" s="161">
        <f>+'INGRESOS-EGRESOS'!G90</f>
        <v>0</v>
      </c>
    </row>
    <row r="20" spans="3:17">
      <c r="D20" t="s">
        <v>45</v>
      </c>
      <c r="F20" s="160"/>
      <c r="G20" s="161">
        <f>+'INGRESOS-EGRESOS'!G105</f>
        <v>6420960</v>
      </c>
      <c r="L20" t="s">
        <v>45</v>
      </c>
      <c r="N20" s="160"/>
      <c r="O20" s="161">
        <f>+'INGRESOS-EGRESOS'!G105</f>
        <v>6420960</v>
      </c>
    </row>
    <row r="21" spans="3:17">
      <c r="F21" s="160"/>
      <c r="G21" s="161"/>
      <c r="L21" t="s">
        <v>235</v>
      </c>
      <c r="N21" s="160"/>
      <c r="O21" s="161">
        <f>+DUPLEX!J3</f>
        <v>4200000</v>
      </c>
      <c r="P21" s="4"/>
    </row>
    <row r="22" spans="3:17">
      <c r="F22" s="160"/>
      <c r="G22" s="161"/>
      <c r="L22" t="s">
        <v>234</v>
      </c>
      <c r="N22" s="160"/>
      <c r="O22" s="161">
        <v>0</v>
      </c>
    </row>
    <row r="23" spans="3:17">
      <c r="F23" s="160"/>
      <c r="G23" s="161"/>
      <c r="L23" t="s">
        <v>236</v>
      </c>
      <c r="N23" s="160"/>
      <c r="O23" s="161">
        <f>+'NEGOCIADOS- EL NORTE'!G116</f>
        <v>11560000</v>
      </c>
    </row>
    <row r="24" spans="3:17">
      <c r="F24" s="160"/>
      <c r="G24" s="161"/>
      <c r="N24" s="160"/>
      <c r="O24" s="161"/>
      <c r="Q24" s="4"/>
    </row>
    <row r="25" spans="3:17">
      <c r="F25" s="160"/>
      <c r="G25" s="161"/>
      <c r="K25" t="s">
        <v>230</v>
      </c>
      <c r="N25" s="181"/>
      <c r="O25" s="161"/>
    </row>
    <row r="26" spans="3:17">
      <c r="C26" s="21" t="s">
        <v>156</v>
      </c>
      <c r="F26" s="160"/>
      <c r="G26" s="161"/>
      <c r="N26" s="160"/>
      <c r="O26" s="161"/>
    </row>
    <row r="27" spans="3:17">
      <c r="D27" t="s">
        <v>25</v>
      </c>
      <c r="F27" s="160"/>
      <c r="G27" s="161">
        <f>+ESCUELITAS!O9</f>
        <v>89090000</v>
      </c>
      <c r="N27" s="160"/>
      <c r="O27" s="161"/>
      <c r="Q27" s="4"/>
    </row>
    <row r="28" spans="3:17">
      <c r="D28" t="s">
        <v>225</v>
      </c>
      <c r="F28" s="160"/>
      <c r="G28" s="161">
        <f>+DUPLEX!E34</f>
        <v>1200000</v>
      </c>
      <c r="N28" s="160"/>
      <c r="O28" s="161"/>
      <c r="Q28" s="4"/>
    </row>
    <row r="29" spans="3:17">
      <c r="D29" t="s">
        <v>19</v>
      </c>
      <c r="F29" s="160"/>
      <c r="G29" s="161">
        <f>+'NEGOCIADOS- EL NORTE'!F76</f>
        <v>1651000</v>
      </c>
      <c r="K29" s="189" t="s">
        <v>156</v>
      </c>
      <c r="L29" s="190"/>
      <c r="M29" s="186"/>
      <c r="N29" s="192">
        <f>SUM(N30:N33)</f>
        <v>440000</v>
      </c>
      <c r="O29" s="193">
        <f>SUM(O30:O33)</f>
        <v>80071000</v>
      </c>
      <c r="P29" s="197">
        <f>+O29-N29</f>
        <v>79631000</v>
      </c>
      <c r="Q29" s="4"/>
    </row>
    <row r="30" spans="3:17">
      <c r="D30" t="s">
        <v>100</v>
      </c>
      <c r="F30" s="160"/>
      <c r="G30" s="161">
        <f>+'NEGOCIADOS- EL NORTE'!E33</f>
        <v>0</v>
      </c>
      <c r="L30" t="s">
        <v>25</v>
      </c>
      <c r="N30" s="160">
        <f>+ESCUELITAS!H9</f>
        <v>440000</v>
      </c>
      <c r="O30" s="161">
        <f>+ESCUELITAS!F9</f>
        <v>77220000</v>
      </c>
    </row>
    <row r="31" spans="3:17">
      <c r="F31" s="160"/>
      <c r="G31" s="161"/>
      <c r="L31" t="s">
        <v>225</v>
      </c>
      <c r="N31" s="160"/>
      <c r="O31" s="161">
        <f>+DUPLEX!E34</f>
        <v>1200000</v>
      </c>
    </row>
    <row r="32" spans="3:17">
      <c r="C32" s="21" t="s">
        <v>178</v>
      </c>
      <c r="F32" s="160"/>
      <c r="G32" s="161"/>
      <c r="L32" t="s">
        <v>242</v>
      </c>
      <c r="N32" s="160"/>
      <c r="O32" s="161">
        <f>+'NEGOCIADOS- EL NORTE'!F76</f>
        <v>1651000</v>
      </c>
    </row>
    <row r="33" spans="3:16">
      <c r="C33" s="21"/>
      <c r="D33" t="s">
        <v>25</v>
      </c>
      <c r="F33" s="160">
        <f>+'INGRESOS-EGRESOS'!E19</f>
        <v>36594000</v>
      </c>
      <c r="G33" s="161"/>
      <c r="L33" t="s">
        <v>100</v>
      </c>
      <c r="N33" s="160"/>
      <c r="O33" s="161">
        <v>0</v>
      </c>
    </row>
    <row r="34" spans="3:16">
      <c r="D34" t="s">
        <v>8</v>
      </c>
      <c r="F34" s="160">
        <f>+'INGRESOS-EGRESOS'!E74</f>
        <v>7217000</v>
      </c>
      <c r="G34" s="161"/>
      <c r="N34" s="160"/>
      <c r="O34" s="161"/>
    </row>
    <row r="35" spans="3:16">
      <c r="D35" t="s">
        <v>153</v>
      </c>
      <c r="F35" s="160">
        <f>+'INGRESOS-EGRESOS'!E60</f>
        <v>793000</v>
      </c>
      <c r="G35" s="161"/>
      <c r="K35" s="183" t="s">
        <v>178</v>
      </c>
      <c r="L35" s="191"/>
      <c r="M35" s="188"/>
      <c r="N35" s="194">
        <f>SUM(N36:N43)</f>
        <v>71774960</v>
      </c>
      <c r="O35" s="195">
        <f>SUM(O36:O43)</f>
        <v>0</v>
      </c>
      <c r="P35" s="198">
        <f>+N35-O35</f>
        <v>71774960</v>
      </c>
    </row>
    <row r="36" spans="3:16">
      <c r="D36" t="s">
        <v>154</v>
      </c>
      <c r="F36" s="160">
        <f>+'INGRESOS-EGRESOS'!E90</f>
        <v>40000</v>
      </c>
      <c r="G36" s="161"/>
      <c r="K36" s="21"/>
      <c r="L36" t="s">
        <v>25</v>
      </c>
      <c r="N36" s="160">
        <f>+'INGRESOS-EGRESOS'!E19</f>
        <v>36594000</v>
      </c>
      <c r="O36" s="161"/>
    </row>
    <row r="37" spans="3:16">
      <c r="D37" t="s">
        <v>45</v>
      </c>
      <c r="F37" s="160">
        <f>+'INGRESOS-EGRESOS'!E105</f>
        <v>6420960</v>
      </c>
      <c r="G37" s="161"/>
      <c r="L37" t="s">
        <v>8</v>
      </c>
      <c r="N37" s="160">
        <f>+'INGRESOS-EGRESOS'!E74</f>
        <v>7217000</v>
      </c>
      <c r="O37" s="161"/>
    </row>
    <row r="38" spans="3:16">
      <c r="D38" t="s">
        <v>231</v>
      </c>
      <c r="F38" s="160"/>
      <c r="G38" s="161"/>
      <c r="L38" t="s">
        <v>153</v>
      </c>
      <c r="N38" s="160">
        <f>+'INGRESOS-EGRESOS'!E60</f>
        <v>793000</v>
      </c>
      <c r="O38" s="161"/>
    </row>
    <row r="39" spans="3:16">
      <c r="D39" t="s">
        <v>232</v>
      </c>
      <c r="F39" s="160"/>
      <c r="G39" s="161"/>
      <c r="L39" t="s">
        <v>154</v>
      </c>
      <c r="N39" s="160">
        <f>+'INGRESOS-EGRESOS'!E90</f>
        <v>40000</v>
      </c>
      <c r="O39" s="161"/>
    </row>
    <row r="40" spans="3:16">
      <c r="F40" s="160"/>
      <c r="G40" s="161"/>
      <c r="L40" t="s">
        <v>45</v>
      </c>
      <c r="N40" s="160">
        <f>+'INGRESOS-EGRESOS'!E105</f>
        <v>6420960</v>
      </c>
      <c r="O40" s="161"/>
    </row>
    <row r="41" spans="3:16">
      <c r="F41" s="181">
        <f>SUM(F5:F38)</f>
        <v>124460960</v>
      </c>
      <c r="G41" s="182">
        <f>SUM(G5:G38)</f>
        <v>125801960</v>
      </c>
      <c r="L41" t="s">
        <v>235</v>
      </c>
      <c r="N41" s="160">
        <f>+DUPLEX!E8</f>
        <v>4200000</v>
      </c>
      <c r="O41" s="161"/>
    </row>
    <row r="42" spans="3:16">
      <c r="F42" s="158"/>
      <c r="G42" s="159"/>
      <c r="L42" t="s">
        <v>234</v>
      </c>
      <c r="N42" s="160">
        <v>0</v>
      </c>
      <c r="O42" s="161"/>
    </row>
    <row r="43" spans="3:16">
      <c r="F43" s="214">
        <f>+F41-G41</f>
        <v>-1341000</v>
      </c>
      <c r="G43" s="215"/>
      <c r="L43" t="s">
        <v>236</v>
      </c>
      <c r="N43" s="160">
        <f>+'NEGOCIADOS- EL NORTE'!E116</f>
        <v>16510000</v>
      </c>
      <c r="O43" s="161"/>
    </row>
    <row r="44" spans="3:16">
      <c r="F44" s="158"/>
      <c r="G44" s="159"/>
      <c r="N44" s="158"/>
      <c r="O44" s="159"/>
    </row>
    <row r="45" spans="3:16">
      <c r="N45" s="158"/>
      <c r="O45" s="159"/>
    </row>
    <row r="46" spans="3:16">
      <c r="N46" s="158"/>
      <c r="O46" s="159"/>
    </row>
    <row r="47" spans="3:16">
      <c r="N47" s="158"/>
      <c r="O47" s="159"/>
    </row>
  </sheetData>
  <mergeCells count="2">
    <mergeCell ref="N1:O1"/>
    <mergeCell ref="F43:G4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7DD3B-4609-4DA1-90BE-1F7CDFE5DF1B}">
  <dimension ref="B3:E16"/>
  <sheetViews>
    <sheetView workbookViewId="0">
      <selection activeCell="E16" activeCellId="2" sqref="E4 E9 E16"/>
    </sheetView>
  </sheetViews>
  <sheetFormatPr baseColWidth="10" defaultRowHeight="13.8"/>
  <cols>
    <col min="2" max="2" width="17.296875" customWidth="1"/>
    <col min="3" max="3" width="15.796875" customWidth="1"/>
    <col min="4" max="4" width="16.09765625" customWidth="1"/>
  </cols>
  <sheetData>
    <row r="3" spans="2:5">
      <c r="B3" t="s">
        <v>16</v>
      </c>
      <c r="C3" t="s">
        <v>200</v>
      </c>
      <c r="D3" t="s">
        <v>199</v>
      </c>
      <c r="E3" t="s">
        <v>113</v>
      </c>
    </row>
    <row r="4" spans="2:5">
      <c r="C4" s="8">
        <f>+ESCUELITAS!Z12+DUPLEX!O11</f>
        <v>17270000</v>
      </c>
      <c r="D4" s="8">
        <f>+'INGRESOS-EGRESOS'!Q22</f>
        <v>2849000</v>
      </c>
      <c r="E4" s="8">
        <f>+C4-D4</f>
        <v>14421000</v>
      </c>
    </row>
    <row r="8" spans="2:5">
      <c r="B8" t="s">
        <v>17</v>
      </c>
      <c r="C8" t="s">
        <v>200</v>
      </c>
      <c r="D8" t="s">
        <v>199</v>
      </c>
      <c r="E8" t="s">
        <v>113</v>
      </c>
    </row>
    <row r="9" spans="2:5">
      <c r="C9" s="8">
        <f>+ESCUELITAS!AA12+DUPLEX!P11</f>
        <v>11810000</v>
      </c>
      <c r="D9" s="8">
        <f>+'INGRESOS-EGRESOS'!R22</f>
        <v>1635000</v>
      </c>
      <c r="E9" s="8">
        <f>+C9-D9</f>
        <v>10175000</v>
      </c>
    </row>
    <row r="15" spans="2:5">
      <c r="B15" t="s">
        <v>45</v>
      </c>
      <c r="C15" t="s">
        <v>200</v>
      </c>
      <c r="D15" t="s">
        <v>199</v>
      </c>
      <c r="E15" t="s">
        <v>113</v>
      </c>
    </row>
    <row r="16" spans="2:5">
      <c r="C16" s="8">
        <f>+ESCUELITAS!AB12+DUPLEX!Q11</f>
        <v>3320000</v>
      </c>
      <c r="D16" s="8">
        <f>+'INGRESOS-EGRESOS'!S22</f>
        <v>0</v>
      </c>
      <c r="E16" s="8">
        <f>+C16-D16</f>
        <v>3320000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ESCUELITAS</vt:lpstr>
      <vt:lpstr>INGRESOS-EGRESOS</vt:lpstr>
      <vt:lpstr>NEGOCIADOS- EL NORTE</vt:lpstr>
      <vt:lpstr>MAYOR</vt:lpstr>
      <vt:lpstr>DUPLEX</vt:lpstr>
      <vt:lpstr>Precios</vt:lpstr>
      <vt:lpstr>RECIBOS</vt:lpstr>
      <vt:lpstr>TROFEOS</vt:lpstr>
      <vt:lpstr>CENTRO DE COSTOS</vt:lpstr>
      <vt:lpstr>BALANCE</vt:lpstr>
      <vt:lpstr>DIVIDENDOS</vt:lpstr>
      <vt:lpstr>'NEGOCIADOS- EL NORTE'!Área_de_impresión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 Cáceres .</dc:creator>
  <cp:lastModifiedBy>Javi Cáceres .</cp:lastModifiedBy>
  <cp:lastPrinted>2026-08-04T03:01:57Z</cp:lastPrinted>
  <dcterms:created xsi:type="dcterms:W3CDTF">2026-08-02T22:03:08Z</dcterms:created>
  <dcterms:modified xsi:type="dcterms:W3CDTF">2026-08-07T19:20:38Z</dcterms:modified>
</cp:coreProperties>
</file>